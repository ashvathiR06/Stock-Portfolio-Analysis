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417"/>
  <workbookPr hidePivotFieldList="1" defaultThemeVersion="166925"/>
  <xr:revisionPtr revIDLastSave="414" documentId="11_E60897F41BE170836B02CE998F75CCDC64E183C8" xr6:coauthVersionLast="47" xr6:coauthVersionMax="47" xr10:uidLastSave="{837CE4E9-91B5-4212-8338-964AC335C16F}"/>
  <bookViews>
    <workbookView xWindow="240" yWindow="105" windowWidth="14805" windowHeight="8010" xr2:uid="{00000000-000D-0000-FFFF-FFFF00000000}"/>
  </bookViews>
  <sheets>
    <sheet name="Stock - Live Tracking"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B13" i="1" l="1"/>
  <c r="G3" i="1"/>
  <c r="G4" i="1"/>
  <c r="G5" i="1"/>
  <c r="G6" i="1"/>
  <c r="G7" i="1"/>
  <c r="G8" i="1"/>
  <c r="G9" i="1"/>
  <c r="G10" i="1"/>
  <c r="J13" i="1"/>
  <c r="C10" i="1" a="1"/>
  <c r="C10" i="1"/>
  <c r="F10" i="1" s="1"/>
  <c r="H10" i="1" s="1"/>
  <c r="I10" i="1" s="1"/>
  <c r="C9" i="1" a="1"/>
  <c r="C9" i="1"/>
  <c r="F9" i="1" s="1"/>
  <c r="H9" i="1" s="1"/>
  <c r="I9" i="1" s="1"/>
  <c r="C8" i="1" a="1"/>
  <c r="C8" i="1"/>
  <c r="F8" i="1" s="1"/>
  <c r="H8" i="1" s="1"/>
  <c r="I8" i="1" s="1"/>
  <c r="C7" i="1" a="1"/>
  <c r="C7" i="1"/>
  <c r="F7" i="1" s="1"/>
  <c r="H7" i="1" s="1"/>
  <c r="I7" i="1" s="1"/>
  <c r="C6" i="1" a="1"/>
  <c r="C6" i="1"/>
  <c r="F6" i="1" s="1"/>
  <c r="H6" i="1" s="1"/>
  <c r="I6" i="1" s="1"/>
  <c r="C5" i="1" a="1"/>
  <c r="C5" i="1"/>
  <c r="F5" i="1" s="1"/>
  <c r="H5" i="1" s="1"/>
  <c r="I5" i="1" s="1"/>
  <c r="C4" i="1" a="1"/>
  <c r="C4" i="1"/>
  <c r="C3" i="1" a="1"/>
  <c r="C3" i="1"/>
  <c r="F3" i="1" s="1"/>
  <c r="F4" i="1" l="1"/>
  <c r="H3" i="1"/>
  <c r="H4" i="1" l="1"/>
  <c r="B14" i="1"/>
  <c r="G15" i="1"/>
  <c r="G14" i="1"/>
  <c r="F15" i="1"/>
  <c r="F14" i="1"/>
  <c r="I3" i="1"/>
  <c r="I4" i="1" l="1"/>
  <c r="B15" i="1"/>
  <c r="B16" i="1"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8">
    <bk>
      <extLst>
        <ext uri="{3e2802c4-a4d2-4d8b-9148-e3be6c30e623}">
          <xlrd:rvb i="2"/>
        </ext>
      </extLst>
    </bk>
    <bk>
      <extLst>
        <ext uri="{3e2802c4-a4d2-4d8b-9148-e3be6c30e623}">
          <xlrd:rvb i="5"/>
        </ext>
      </extLst>
    </bk>
    <bk>
      <extLst>
        <ext uri="{3e2802c4-a4d2-4d8b-9148-e3be6c30e623}">
          <xlrd:rvb i="8"/>
        </ext>
      </extLst>
    </bk>
    <bk>
      <extLst>
        <ext uri="{3e2802c4-a4d2-4d8b-9148-e3be6c30e623}">
          <xlrd:rvb i="11"/>
        </ext>
      </extLst>
    </bk>
    <bk>
      <extLst>
        <ext uri="{3e2802c4-a4d2-4d8b-9148-e3be6c30e623}">
          <xlrd:rvb i="18"/>
        </ext>
      </extLst>
    </bk>
    <bk>
      <extLst>
        <ext uri="{3e2802c4-a4d2-4d8b-9148-e3be6c30e623}">
          <xlrd:rvb i="21"/>
        </ext>
      </extLst>
    </bk>
    <bk>
      <extLst>
        <ext uri="{3e2802c4-a4d2-4d8b-9148-e3be6c30e623}">
          <xlrd:rvb i="24"/>
        </ext>
      </extLst>
    </bk>
    <bk>
      <extLst>
        <ext uri="{3e2802c4-a4d2-4d8b-9148-e3be6c30e623}">
          <xlrd:rvb i="27"/>
        </ext>
      </extLst>
    </bk>
  </futureMetadata>
  <cellMetadata count="1">
    <bk>
      <rc t="1" v="0"/>
    </bk>
  </cellMetadata>
  <valueMetadata count="8">
    <bk>
      <rc t="2" v="0"/>
    </bk>
    <bk>
      <rc t="2" v="1"/>
    </bk>
    <bk>
      <rc t="2" v="2"/>
    </bk>
    <bk>
      <rc t="2" v="3"/>
    </bk>
    <bk>
      <rc t="2" v="4"/>
    </bk>
    <bk>
      <rc t="2" v="5"/>
    </bk>
    <bk>
      <rc t="2" v="6"/>
    </bk>
    <bk>
      <rc t="2" v="7"/>
    </bk>
  </valueMetadata>
</metadata>
</file>

<file path=xl/sharedStrings.xml><?xml version="1.0" encoding="utf-8"?>
<sst xmlns="http://schemas.openxmlformats.org/spreadsheetml/2006/main" count="24" uniqueCount="21">
  <si>
    <t>Stock Name</t>
  </si>
  <si>
    <t>Sector</t>
  </si>
  <si>
    <t>Price (Live)</t>
  </si>
  <si>
    <t>Quantity</t>
  </si>
  <si>
    <t>Buy Price</t>
  </si>
  <si>
    <t>Current Value</t>
  </si>
  <si>
    <t>Investment</t>
  </si>
  <si>
    <t>Profit/Loss</t>
  </si>
  <si>
    <t>Percentage %</t>
  </si>
  <si>
    <t>Financial Services / Banking</t>
  </si>
  <si>
    <t>Information Technology (IT)</t>
  </si>
  <si>
    <t>Energy</t>
  </si>
  <si>
    <t>FMCG (Fast-Moving Consumer Goods)</t>
  </si>
  <si>
    <t>Commodities / Metals</t>
  </si>
  <si>
    <t>Total Investmmnet</t>
  </si>
  <si>
    <t>Top Gainer</t>
  </si>
  <si>
    <t>Top Loser</t>
  </si>
  <si>
    <t>Last Updated</t>
  </si>
  <si>
    <t>Total Current Value</t>
  </si>
  <si>
    <t>Total Profit/Loss</t>
  </si>
  <si>
    <t>Overall Return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</si>
</sst>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44D]\ * #,##0.00_ ;_ [$₹-44D]\ * \-#,##0.00_ ;_ [$₹-44D]\ * &quot;-&quot;??_ ;_ @_ "/>
  </numFmts>
  <fonts count="4">
    <font>
      <sz val="11"/>
      <color theme="1"/>
      <name val="Calibri"/>
      <family val="2"/>
      <scheme val="minor"/>
    </font>
    <font>
      <b/>
      <sz val="11"/>
      <color theme="1"/>
      <name val="Calibri"/>
      <family val="2"/>
      <scheme val="minor"/>
    </font>
    <font>
      <sz val="11"/>
      <color rgb="FF00B050"/>
      <name val="Calibri"/>
      <family val="2"/>
      <scheme val="minor"/>
    </font>
    <font>
      <b/>
      <sz val="11"/>
      <color rgb="FF000000"/>
      <name val="Calibri"/>
      <family val="2"/>
      <scheme val="minor"/>
    </font>
  </fonts>
  <fills count="7">
    <fill>
      <patternFill patternType="none"/>
    </fill>
    <fill>
      <patternFill patternType="gray125"/>
    </fill>
    <fill>
      <patternFill patternType="solid">
        <fgColor theme="2"/>
        <bgColor indexed="64"/>
      </patternFill>
    </fill>
    <fill>
      <patternFill patternType="solid">
        <fgColor theme="2" tint="-9.9978637043366805E-2"/>
        <bgColor indexed="64"/>
      </patternFill>
    </fill>
    <fill>
      <patternFill patternType="solid">
        <fgColor theme="4" tint="0.59999389629810485"/>
        <bgColor indexed="64"/>
      </patternFill>
    </fill>
    <fill>
      <patternFill patternType="solid">
        <fgColor rgb="FFFF0000"/>
        <bgColor indexed="64"/>
      </patternFill>
    </fill>
    <fill>
      <patternFill patternType="solid">
        <fgColor rgb="FFFFC000"/>
        <bgColor indexed="64"/>
      </patternFill>
    </fill>
  </fills>
  <borders count="1">
    <border>
      <left/>
      <right/>
      <top/>
      <bottom/>
      <diagonal/>
    </border>
  </borders>
  <cellStyleXfs count="1">
    <xf numFmtId="0" fontId="0" fillId="0" borderId="0"/>
  </cellStyleXfs>
  <cellXfs count="17">
    <xf numFmtId="0" fontId="0" fillId="0" borderId="0" xfId="0"/>
    <xf numFmtId="164" fontId="0" fillId="0" borderId="0" xfId="0" applyNumberFormat="1"/>
    <xf numFmtId="2" fontId="0" fillId="0" borderId="0" xfId="0" applyNumberFormat="1"/>
    <xf numFmtId="0" fontId="1" fillId="0" borderId="0" xfId="0" applyFont="1"/>
    <xf numFmtId="0" fontId="0" fillId="2" borderId="0" xfId="0" applyNumberFormat="1" applyFill="1"/>
    <xf numFmtId="0" fontId="0" fillId="2" borderId="0" xfId="0" applyFill="1"/>
    <xf numFmtId="0" fontId="2" fillId="3" borderId="0" xfId="0" applyFont="1" applyFill="1"/>
    <xf numFmtId="0" fontId="0" fillId="4" borderId="0" xfId="0" applyFill="1"/>
    <xf numFmtId="22" fontId="1" fillId="0" borderId="0" xfId="0" applyNumberFormat="1" applyFont="1"/>
    <xf numFmtId="0" fontId="0" fillId="6" borderId="0" xfId="0" applyFill="1"/>
    <xf numFmtId="2" fontId="0" fillId="6" borderId="0" xfId="0" applyNumberFormat="1" applyFill="1"/>
    <xf numFmtId="10" fontId="0" fillId="0" borderId="0" xfId="0" applyNumberFormat="1"/>
    <xf numFmtId="2" fontId="3" fillId="5" borderId="0" xfId="0" applyNumberFormat="1" applyFont="1" applyFill="1"/>
    <xf numFmtId="10" fontId="3" fillId="5" borderId="0" xfId="0" applyNumberFormat="1" applyFont="1" applyFill="1"/>
    <xf numFmtId="0" fontId="0" fillId="0" borderId="0" xfId="0" applyFill="1"/>
    <xf numFmtId="2" fontId="0" fillId="0" borderId="0" xfId="0" applyNumberFormat="1" applyFill="1"/>
    <xf numFmtId="10" fontId="0" fillId="0" borderId="0" xfId="0" applyNumberFormat="1" applyFill="1"/>
  </cellXfs>
  <cellStyles count="1">
    <cellStyle name="Normal" xfId="0" builtinId="0"/>
  </cellStyles>
  <dxfs count="4">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ichStyles" Target="richData/richStyles.xml"/><Relationship Id="rId3" Type="http://schemas.openxmlformats.org/officeDocument/2006/relationships/styles" Target="styles.xml"/><Relationship Id="rId7" Type="http://schemas.microsoft.com/office/2017/06/relationships/rdRichValueStructure" Target="richData/rdrichvaluestructure.xml"/><Relationship Id="rId12" Type="http://schemas.openxmlformats.org/officeDocument/2006/relationships/calcChain" Target="calcChain.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17/06/relationships/rdRichValue" Target="richData/rdrichvalue.xml"/><Relationship Id="rId11" Type="http://schemas.microsoft.com/office/2017/06/relationships/rdRichValueTypes" Target="richData/rdRichValueTypes.xml"/><Relationship Id="rId5" Type="http://schemas.openxmlformats.org/officeDocument/2006/relationships/sheetMetadata" Target="metadata.xml"/><Relationship Id="rId10" Type="http://schemas.microsoft.com/office/2017/06/relationships/rdSupportingPropertyBag" Target="richData/rdsupportingpropertybag.xml"/><Relationship Id="rId4" Type="http://schemas.openxmlformats.org/officeDocument/2006/relationships/sharedStrings" Target="sharedStrings.xml"/><Relationship Id="rId9" Type="http://schemas.microsoft.com/office/2017/06/relationships/rdSupportingPropertyBagStructure" Target="richData/rdsupportingpropertybagstructure.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spPr>
            <a:ln w="25400">
              <a:noFill/>
            </a:ln>
          </c:spPr>
          <c:dPt>
            <c:idx val="0"/>
            <c:bubble3D val="0"/>
            <c:spPr>
              <a:solidFill>
                <a:schemeClr val="accent1"/>
              </a:solidFill>
              <a:ln w="25400">
                <a:noFill/>
              </a:ln>
              <a:effectLst/>
            </c:spPr>
            <c:extLst>
              <c:ext xmlns:c16="http://schemas.microsoft.com/office/drawing/2014/chart" uri="{C3380CC4-5D6E-409C-BE32-E72D297353CC}">
                <c16:uniqueId val="{00000001-8512-449D-83D5-5580795E1F5B}"/>
              </c:ext>
            </c:extLst>
          </c:dPt>
          <c:dPt>
            <c:idx val="1"/>
            <c:bubble3D val="0"/>
            <c:spPr>
              <a:solidFill>
                <a:schemeClr val="accent2"/>
              </a:solidFill>
              <a:ln w="25400">
                <a:noFill/>
              </a:ln>
              <a:effectLst/>
            </c:spPr>
            <c:extLst>
              <c:ext xmlns:c16="http://schemas.microsoft.com/office/drawing/2014/chart" uri="{C3380CC4-5D6E-409C-BE32-E72D297353CC}">
                <c16:uniqueId val="{00000003-8512-449D-83D5-5580795E1F5B}"/>
              </c:ext>
            </c:extLst>
          </c:dPt>
          <c:dPt>
            <c:idx val="2"/>
            <c:bubble3D val="0"/>
            <c:spPr>
              <a:solidFill>
                <a:schemeClr val="accent3"/>
              </a:solidFill>
              <a:ln w="25400">
                <a:noFill/>
              </a:ln>
              <a:effectLst/>
            </c:spPr>
            <c:extLst>
              <c:ext xmlns:c16="http://schemas.microsoft.com/office/drawing/2014/chart" uri="{C3380CC4-5D6E-409C-BE32-E72D297353CC}">
                <c16:uniqueId val="{00000005-8512-449D-83D5-5580795E1F5B}"/>
              </c:ext>
            </c:extLst>
          </c:dPt>
          <c:dPt>
            <c:idx val="3"/>
            <c:bubble3D val="0"/>
            <c:spPr>
              <a:solidFill>
                <a:schemeClr val="accent4"/>
              </a:solidFill>
              <a:ln w="25400">
                <a:noFill/>
              </a:ln>
              <a:effectLst/>
            </c:spPr>
            <c:extLst>
              <c:ext xmlns:c16="http://schemas.microsoft.com/office/drawing/2014/chart" uri="{C3380CC4-5D6E-409C-BE32-E72D297353CC}">
                <c16:uniqueId val="{00000007-8512-449D-83D5-5580795E1F5B}"/>
              </c:ext>
            </c:extLst>
          </c:dPt>
          <c:dPt>
            <c:idx val="4"/>
            <c:bubble3D val="0"/>
            <c:spPr>
              <a:solidFill>
                <a:schemeClr val="accent5"/>
              </a:solidFill>
              <a:ln w="25400">
                <a:noFill/>
              </a:ln>
              <a:effectLst/>
            </c:spPr>
            <c:extLst>
              <c:ext xmlns:c16="http://schemas.microsoft.com/office/drawing/2014/chart" uri="{C3380CC4-5D6E-409C-BE32-E72D297353CC}">
                <c16:uniqueId val="{00000009-8512-449D-83D5-5580795E1F5B}"/>
              </c:ext>
            </c:extLst>
          </c:dPt>
          <c:dPt>
            <c:idx val="5"/>
            <c:bubble3D val="0"/>
            <c:spPr>
              <a:solidFill>
                <a:schemeClr val="accent6"/>
              </a:solidFill>
              <a:ln w="25400">
                <a:noFill/>
              </a:ln>
              <a:effectLst/>
            </c:spPr>
            <c:extLst>
              <c:ext xmlns:c16="http://schemas.microsoft.com/office/drawing/2014/chart" uri="{C3380CC4-5D6E-409C-BE32-E72D297353CC}">
                <c16:uniqueId val="{0000000B-8512-449D-83D5-5580795E1F5B}"/>
              </c:ext>
            </c:extLst>
          </c:dPt>
          <c:dPt>
            <c:idx val="6"/>
            <c:bubble3D val="0"/>
            <c:spPr>
              <a:solidFill>
                <a:schemeClr val="accent1">
                  <a:lumMod val="60000"/>
                </a:schemeClr>
              </a:solidFill>
              <a:ln w="25400">
                <a:noFill/>
              </a:ln>
              <a:effectLst/>
            </c:spPr>
            <c:extLst>
              <c:ext xmlns:c16="http://schemas.microsoft.com/office/drawing/2014/chart" uri="{C3380CC4-5D6E-409C-BE32-E72D297353CC}">
                <c16:uniqueId val="{0000000D-8512-449D-83D5-5580795E1F5B}"/>
              </c:ext>
            </c:extLst>
          </c:dPt>
          <c:dPt>
            <c:idx val="7"/>
            <c:bubble3D val="0"/>
            <c:spPr>
              <a:solidFill>
                <a:schemeClr val="accent2">
                  <a:lumMod val="60000"/>
                </a:schemeClr>
              </a:solidFill>
              <a:ln w="25400">
                <a:noFill/>
              </a:ln>
              <a:effectLst/>
            </c:spPr>
            <c:extLst>
              <c:ext xmlns:c16="http://schemas.microsoft.com/office/drawing/2014/chart" uri="{C3380CC4-5D6E-409C-BE32-E72D297353CC}">
                <c16:uniqueId val="{0000000F-8512-449D-83D5-5580795E1F5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'Stock - Live Tracking'!$A$3:$A$10</c:f>
              <c:strCache>
                <c:ptCount val="8"/>
                <c:pt idx="0">
                  <c:v>HDFC BANK LIMITED (XNSE:HDFCBANK)</c:v>
                </c:pt>
                <c:pt idx="1">
                  <c:v>INFOSYS LIMITED (XNSE:INFY)</c:v>
                </c:pt>
                <c:pt idx="2">
                  <c:v>RELIANCE INDUSTRIES LIMITED (XNSE:RELIANCE)</c:v>
                </c:pt>
                <c:pt idx="3">
                  <c:v>TATA CONSULTANCY SERVICES LIMITED (XNSE:TCS)</c:v>
                </c:pt>
                <c:pt idx="4">
                  <c:v>ICICI BANK LIMITED (XNSE:ICICIBANK)</c:v>
                </c:pt>
                <c:pt idx="5">
                  <c:v>ITC LIMITED (XBOM:500875)</c:v>
                </c:pt>
                <c:pt idx="6">
                  <c:v>TATA STEEL LIMITED (XNSE:TATASTEEL)</c:v>
                </c:pt>
                <c:pt idx="7">
                  <c:v>State Bank of India (XNSE:SBIN)</c:v>
                </c:pt>
              </c:strCache>
            </c:strRef>
          </c:cat>
          <c:val>
            <c:numRef>
              <c:f>'Stock - Live Tracking'!$G$3:$G$10</c:f>
              <c:numCache>
                <c:formatCode>General</c:formatCode>
                <c:ptCount val="8"/>
                <c:pt idx="0">
                  <c:v>5500</c:v>
                </c:pt>
                <c:pt idx="1">
                  <c:v>25242</c:v>
                </c:pt>
                <c:pt idx="2">
                  <c:v>12000</c:v>
                </c:pt>
                <c:pt idx="3">
                  <c:v>50600</c:v>
                </c:pt>
                <c:pt idx="4">
                  <c:v>1419</c:v>
                </c:pt>
                <c:pt idx="5">
                  <c:v>9234</c:v>
                </c:pt>
                <c:pt idx="6">
                  <c:v>6875.64</c:v>
                </c:pt>
                <c:pt idx="7">
                  <c:v>2002.68</c:v>
                </c:pt>
              </c:numCache>
            </c:numRef>
          </c:val>
          <c:extLst>
            <c:ext xmlns:c16="http://schemas.microsoft.com/office/drawing/2014/chart" uri="{C3380CC4-5D6E-409C-BE32-E72D297353CC}">
              <c16:uniqueId val="{00000010-8512-449D-83D5-5580795E1F5B}"/>
            </c:ext>
          </c:extLst>
        </c:ser>
        <c:dLbls>
          <c:showLegendKey val="0"/>
          <c:showVal val="0"/>
          <c:showCatName val="0"/>
          <c:showSerName val="0"/>
          <c:showPercent val="0"/>
          <c:showBubbleSize val="0"/>
          <c:showLeaderLines val="1"/>
        </c:dLbls>
        <c:firstSliceAng val="0"/>
      </c:pieChart>
      <c:spPr>
        <a:noFill/>
        <a:ln>
          <a:noFill/>
        </a:ln>
        <a:effectLst/>
      </c:spPr>
    </c:plotArea>
    <c:legend>
      <c:legendPos val="b"/>
      <c:layout>
        <c:manualLayout>
          <c:xMode val="edge"/>
          <c:yMode val="edge"/>
          <c:x val="0.15229726154164969"/>
          <c:y val="0.46027663734296237"/>
          <c:w val="0.48937203745054259"/>
          <c:h val="0.5163588196335271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'Stock - Live Tracking'!$C$1</c:f>
              <c:strCache>
                <c:ptCount val="1"/>
                <c:pt idx="0">
                  <c:v>Price (Live)</c:v>
                </c:pt>
              </c:strCache>
            </c:strRef>
          </c:tx>
          <c:spPr>
            <a:ln w="28575" cap="rnd">
              <a:solidFill>
                <a:schemeClr val="accent1"/>
              </a:solidFill>
              <a:round/>
            </a:ln>
            <a:effectLst/>
          </c:spPr>
          <c:marker>
            <c:symbol val="none"/>
          </c:marker>
          <c:cat>
            <c:multiLvlStrRef>
              <c:f>'Stock - Live Tracking'!$A$2:$B$10</c:f>
              <c:multiLvlStrCache>
                <c:ptCount val="9"/>
                <c:lvl>
                  <c:pt idx="1">
                    <c:v>Financial Services / Banking</c:v>
                  </c:pt>
                  <c:pt idx="2">
                    <c:v>Information Technology (IT)</c:v>
                  </c:pt>
                  <c:pt idx="3">
                    <c:v>Energy</c:v>
                  </c:pt>
                  <c:pt idx="4">
                    <c:v>Information Technology (IT)</c:v>
                  </c:pt>
                  <c:pt idx="5">
                    <c:v>Financial Services / Banking</c:v>
                  </c:pt>
                  <c:pt idx="6">
                    <c:v>FMCG (Fast-Moving Consumer Goods)</c:v>
                  </c:pt>
                  <c:pt idx="7">
                    <c:v>Commodities / Metals</c:v>
                  </c:pt>
                  <c:pt idx="8">
                    <c:v>Financial Services / Banking</c:v>
                  </c:pt>
                </c:lvl>
                <c:lvl>
                  <c:pt idx="1">
                    <c:v>HDFC BANK LIMITED (XNSE:HDFCBANK)</c:v>
                  </c:pt>
                  <c:pt idx="2">
                    <c:v>INFOSYS LIMITED (XNSE:INFY)</c:v>
                  </c:pt>
                  <c:pt idx="3">
                    <c:v>RELIANCE INDUSTRIES LIMITED (XNSE:RELIANCE)</c:v>
                  </c:pt>
                  <c:pt idx="4">
                    <c:v>TATA CONSULTANCY SERVICES LIMITED (XNSE:TCS)</c:v>
                  </c:pt>
                  <c:pt idx="5">
                    <c:v>ICICI BANK LIMITED (XNSE:ICICIBANK)</c:v>
                  </c:pt>
                  <c:pt idx="6">
                    <c:v>ITC LIMITED (XBOM:500875)</c:v>
                  </c:pt>
                  <c:pt idx="7">
                    <c:v>TATA STEEL LIMITED (XNSE:TATASTEEL)</c:v>
                  </c:pt>
                  <c:pt idx="8">
                    <c:v>State Bank of India (XNSE:SBIN)</c:v>
                  </c:pt>
                </c:lvl>
              </c:multiLvlStrCache>
            </c:multiLvlStrRef>
          </c:cat>
          <c:val>
            <c:numRef>
              <c:f>'Stock - Live Tracking'!$C$2:$C$10</c:f>
              <c:numCache>
                <c:formatCode>_ [$₹-44D]\ * #,##0.00_ ;_ [$₹-44D]\ * \-#,##0.00_ ;_ [$₹-44D]\ * "-"??_ ;_ @_ </c:formatCode>
                <c:ptCount val="9"/>
                <c:pt idx="1">
                  <c:v>720.3</c:v>
                </c:pt>
                <c:pt idx="2">
                  <c:v>1144</c:v>
                </c:pt>
                <c:pt idx="3">
                  <c:v>1287</c:v>
                </c:pt>
                <c:pt idx="4">
                  <c:v>2342</c:v>
                </c:pt>
                <c:pt idx="5">
                  <c:v>1422.8</c:v>
                </c:pt>
                <c:pt idx="6">
                  <c:v>266</c:v>
                </c:pt>
                <c:pt idx="7">
                  <c:v>186.5</c:v>
                </c:pt>
                <c:pt idx="8">
                  <c:v>1047.5</c:v>
                </c:pt>
              </c:numCache>
            </c:numRef>
          </c:val>
          <c:smooth val="0"/>
          <c:extLst>
            <c:ext xmlns:c16="http://schemas.microsoft.com/office/drawing/2014/chart" uri="{C3380CC4-5D6E-409C-BE32-E72D297353CC}">
              <c16:uniqueId val="{00000000-9326-480F-8471-4DB847DE3A7D}"/>
            </c:ext>
          </c:extLst>
        </c:ser>
        <c:ser>
          <c:idx val="1"/>
          <c:order val="1"/>
          <c:tx>
            <c:strRef>
              <c:f>'Stock - Live Tracking'!$D$1</c:f>
              <c:strCache>
                <c:ptCount val="1"/>
                <c:pt idx="0">
                  <c:v>Quantity</c:v>
                </c:pt>
              </c:strCache>
            </c:strRef>
          </c:tx>
          <c:spPr>
            <a:ln w="28575" cap="rnd">
              <a:solidFill>
                <a:schemeClr val="accent2"/>
              </a:solidFill>
              <a:round/>
            </a:ln>
            <a:effectLst/>
          </c:spPr>
          <c:marker>
            <c:symbol val="none"/>
          </c:marker>
          <c:cat>
            <c:multiLvlStrRef>
              <c:f>'Stock - Live Tracking'!$A$2:$B$10</c:f>
              <c:multiLvlStrCache>
                <c:ptCount val="9"/>
                <c:lvl>
                  <c:pt idx="1">
                    <c:v>Financial Services / Banking</c:v>
                  </c:pt>
                  <c:pt idx="2">
                    <c:v>Information Technology (IT)</c:v>
                  </c:pt>
                  <c:pt idx="3">
                    <c:v>Energy</c:v>
                  </c:pt>
                  <c:pt idx="4">
                    <c:v>Information Technology (IT)</c:v>
                  </c:pt>
                  <c:pt idx="5">
                    <c:v>Financial Services / Banking</c:v>
                  </c:pt>
                  <c:pt idx="6">
                    <c:v>FMCG (Fast-Moving Consumer Goods)</c:v>
                  </c:pt>
                  <c:pt idx="7">
                    <c:v>Commodities / Metals</c:v>
                  </c:pt>
                  <c:pt idx="8">
                    <c:v>Financial Services / Banking</c:v>
                  </c:pt>
                </c:lvl>
                <c:lvl>
                  <c:pt idx="1">
                    <c:v>HDFC BANK LIMITED (XNSE:HDFCBANK)</c:v>
                  </c:pt>
                  <c:pt idx="2">
                    <c:v>INFOSYS LIMITED (XNSE:INFY)</c:v>
                  </c:pt>
                  <c:pt idx="3">
                    <c:v>RELIANCE INDUSTRIES LIMITED (XNSE:RELIANCE)</c:v>
                  </c:pt>
                  <c:pt idx="4">
                    <c:v>TATA CONSULTANCY SERVICES LIMITED (XNSE:TCS)</c:v>
                  </c:pt>
                  <c:pt idx="5">
                    <c:v>ICICI BANK LIMITED (XNSE:ICICIBANK)</c:v>
                  </c:pt>
                  <c:pt idx="6">
                    <c:v>ITC LIMITED (XBOM:500875)</c:v>
                  </c:pt>
                  <c:pt idx="7">
                    <c:v>TATA STEEL LIMITED (XNSE:TATASTEEL)</c:v>
                  </c:pt>
                  <c:pt idx="8">
                    <c:v>State Bank of India (XNSE:SBIN)</c:v>
                  </c:pt>
                </c:lvl>
              </c:multiLvlStrCache>
            </c:multiLvlStrRef>
          </c:cat>
          <c:val>
            <c:numRef>
              <c:f>'Stock - Live Tracking'!$D$2:$D$10</c:f>
              <c:numCache>
                <c:formatCode>General</c:formatCode>
                <c:ptCount val="9"/>
                <c:pt idx="1">
                  <c:v>11</c:v>
                </c:pt>
                <c:pt idx="2">
                  <c:v>21</c:v>
                </c:pt>
                <c:pt idx="3">
                  <c:v>8</c:v>
                </c:pt>
                <c:pt idx="4">
                  <c:v>23</c:v>
                </c:pt>
                <c:pt idx="5">
                  <c:v>1</c:v>
                </c:pt>
                <c:pt idx="6">
                  <c:v>27</c:v>
                </c:pt>
                <c:pt idx="7">
                  <c:v>36</c:v>
                </c:pt>
                <c:pt idx="8">
                  <c:v>2</c:v>
                </c:pt>
              </c:numCache>
            </c:numRef>
          </c:val>
          <c:smooth val="0"/>
          <c:extLst>
            <c:ext xmlns:c16="http://schemas.microsoft.com/office/drawing/2014/chart" uri="{C3380CC4-5D6E-409C-BE32-E72D297353CC}">
              <c16:uniqueId val="{00000002-9326-480F-8471-4DB847DE3A7D}"/>
            </c:ext>
          </c:extLst>
        </c:ser>
        <c:ser>
          <c:idx val="2"/>
          <c:order val="2"/>
          <c:tx>
            <c:strRef>
              <c:f>'Stock - Live Tracking'!$E$1</c:f>
              <c:strCache>
                <c:ptCount val="1"/>
                <c:pt idx="0">
                  <c:v>Buy Price</c:v>
                </c:pt>
              </c:strCache>
            </c:strRef>
          </c:tx>
          <c:spPr>
            <a:ln w="28575" cap="rnd">
              <a:solidFill>
                <a:schemeClr val="accent3"/>
              </a:solidFill>
              <a:round/>
            </a:ln>
            <a:effectLst/>
          </c:spPr>
          <c:marker>
            <c:symbol val="none"/>
          </c:marker>
          <c:cat>
            <c:multiLvlStrRef>
              <c:f>'Stock - Live Tracking'!$A$2:$B$10</c:f>
              <c:multiLvlStrCache>
                <c:ptCount val="9"/>
                <c:lvl>
                  <c:pt idx="1">
                    <c:v>Financial Services / Banking</c:v>
                  </c:pt>
                  <c:pt idx="2">
                    <c:v>Information Technology (IT)</c:v>
                  </c:pt>
                  <c:pt idx="3">
                    <c:v>Energy</c:v>
                  </c:pt>
                  <c:pt idx="4">
                    <c:v>Information Technology (IT)</c:v>
                  </c:pt>
                  <c:pt idx="5">
                    <c:v>Financial Services / Banking</c:v>
                  </c:pt>
                  <c:pt idx="6">
                    <c:v>FMCG (Fast-Moving Consumer Goods)</c:v>
                  </c:pt>
                  <c:pt idx="7">
                    <c:v>Commodities / Metals</c:v>
                  </c:pt>
                  <c:pt idx="8">
                    <c:v>Financial Services / Banking</c:v>
                  </c:pt>
                </c:lvl>
                <c:lvl>
                  <c:pt idx="1">
                    <c:v>HDFC BANK LIMITED (XNSE:HDFCBANK)</c:v>
                  </c:pt>
                  <c:pt idx="2">
                    <c:v>INFOSYS LIMITED (XNSE:INFY)</c:v>
                  </c:pt>
                  <c:pt idx="3">
                    <c:v>RELIANCE INDUSTRIES LIMITED (XNSE:RELIANCE)</c:v>
                  </c:pt>
                  <c:pt idx="4">
                    <c:v>TATA CONSULTANCY SERVICES LIMITED (XNSE:TCS)</c:v>
                  </c:pt>
                  <c:pt idx="5">
                    <c:v>ICICI BANK LIMITED (XNSE:ICICIBANK)</c:v>
                  </c:pt>
                  <c:pt idx="6">
                    <c:v>ITC LIMITED (XBOM:500875)</c:v>
                  </c:pt>
                  <c:pt idx="7">
                    <c:v>TATA STEEL LIMITED (XNSE:TATASTEEL)</c:v>
                  </c:pt>
                  <c:pt idx="8">
                    <c:v>State Bank of India (XNSE:SBIN)</c:v>
                  </c:pt>
                </c:lvl>
              </c:multiLvlStrCache>
            </c:multiLvlStrRef>
          </c:cat>
          <c:val>
            <c:numRef>
              <c:f>'Stock - Live Tracking'!$E$2:$E$10</c:f>
              <c:numCache>
                <c:formatCode>General</c:formatCode>
                <c:ptCount val="9"/>
                <c:pt idx="1">
                  <c:v>500</c:v>
                </c:pt>
                <c:pt idx="2">
                  <c:v>1202</c:v>
                </c:pt>
                <c:pt idx="3">
                  <c:v>1500</c:v>
                </c:pt>
                <c:pt idx="4">
                  <c:v>2200</c:v>
                </c:pt>
                <c:pt idx="5">
                  <c:v>1419</c:v>
                </c:pt>
                <c:pt idx="6">
                  <c:v>342</c:v>
                </c:pt>
                <c:pt idx="7">
                  <c:v>190.99</c:v>
                </c:pt>
                <c:pt idx="8">
                  <c:v>1001.34</c:v>
                </c:pt>
              </c:numCache>
            </c:numRef>
          </c:val>
          <c:smooth val="0"/>
          <c:extLst>
            <c:ext xmlns:c16="http://schemas.microsoft.com/office/drawing/2014/chart" uri="{C3380CC4-5D6E-409C-BE32-E72D297353CC}">
              <c16:uniqueId val="{00000004-9326-480F-8471-4DB847DE3A7D}"/>
            </c:ext>
          </c:extLst>
        </c:ser>
        <c:ser>
          <c:idx val="3"/>
          <c:order val="3"/>
          <c:tx>
            <c:strRef>
              <c:f>'Stock - Live Tracking'!$F$1</c:f>
              <c:strCache>
                <c:ptCount val="1"/>
                <c:pt idx="0">
                  <c:v>Current Value</c:v>
                </c:pt>
              </c:strCache>
            </c:strRef>
          </c:tx>
          <c:spPr>
            <a:ln w="28575" cap="rnd">
              <a:solidFill>
                <a:schemeClr val="accent4"/>
              </a:solidFill>
              <a:round/>
            </a:ln>
            <a:effectLst/>
          </c:spPr>
          <c:marker>
            <c:symbol val="none"/>
          </c:marker>
          <c:cat>
            <c:multiLvlStrRef>
              <c:f>'Stock - Live Tracking'!$A$2:$B$10</c:f>
              <c:multiLvlStrCache>
                <c:ptCount val="9"/>
                <c:lvl>
                  <c:pt idx="1">
                    <c:v>Financial Services / Banking</c:v>
                  </c:pt>
                  <c:pt idx="2">
                    <c:v>Information Technology (IT)</c:v>
                  </c:pt>
                  <c:pt idx="3">
                    <c:v>Energy</c:v>
                  </c:pt>
                  <c:pt idx="4">
                    <c:v>Information Technology (IT)</c:v>
                  </c:pt>
                  <c:pt idx="5">
                    <c:v>Financial Services / Banking</c:v>
                  </c:pt>
                  <c:pt idx="6">
                    <c:v>FMCG (Fast-Moving Consumer Goods)</c:v>
                  </c:pt>
                  <c:pt idx="7">
                    <c:v>Commodities / Metals</c:v>
                  </c:pt>
                  <c:pt idx="8">
                    <c:v>Financial Services / Banking</c:v>
                  </c:pt>
                </c:lvl>
                <c:lvl>
                  <c:pt idx="1">
                    <c:v>HDFC BANK LIMITED (XNSE:HDFCBANK)</c:v>
                  </c:pt>
                  <c:pt idx="2">
                    <c:v>INFOSYS LIMITED (XNSE:INFY)</c:v>
                  </c:pt>
                  <c:pt idx="3">
                    <c:v>RELIANCE INDUSTRIES LIMITED (XNSE:RELIANCE)</c:v>
                  </c:pt>
                  <c:pt idx="4">
                    <c:v>TATA CONSULTANCY SERVICES LIMITED (XNSE:TCS)</c:v>
                  </c:pt>
                  <c:pt idx="5">
                    <c:v>ICICI BANK LIMITED (XNSE:ICICIBANK)</c:v>
                  </c:pt>
                  <c:pt idx="6">
                    <c:v>ITC LIMITED (XBOM:500875)</c:v>
                  </c:pt>
                  <c:pt idx="7">
                    <c:v>TATA STEEL LIMITED (XNSE:TATASTEEL)</c:v>
                  </c:pt>
                  <c:pt idx="8">
                    <c:v>State Bank of India (XNSE:SBIN)</c:v>
                  </c:pt>
                </c:lvl>
              </c:multiLvlStrCache>
            </c:multiLvlStrRef>
          </c:cat>
          <c:val>
            <c:numRef>
              <c:f>'Stock - Live Tracking'!$F$2:$F$10</c:f>
              <c:numCache>
                <c:formatCode>_ [$₹-44D]\ * #,##0.00_ ;_ [$₹-44D]\ * \-#,##0.00_ ;_ [$₹-44D]\ * "-"??_ ;_ @_ </c:formatCode>
                <c:ptCount val="9"/>
                <c:pt idx="1">
                  <c:v>7923.2999999999993</c:v>
                </c:pt>
                <c:pt idx="2">
                  <c:v>24024</c:v>
                </c:pt>
                <c:pt idx="3">
                  <c:v>10296</c:v>
                </c:pt>
                <c:pt idx="4">
                  <c:v>53866</c:v>
                </c:pt>
                <c:pt idx="5">
                  <c:v>1422.8</c:v>
                </c:pt>
                <c:pt idx="6">
                  <c:v>7182</c:v>
                </c:pt>
                <c:pt idx="7">
                  <c:v>6714</c:v>
                </c:pt>
                <c:pt idx="8">
                  <c:v>2095</c:v>
                </c:pt>
              </c:numCache>
            </c:numRef>
          </c:val>
          <c:smooth val="0"/>
          <c:extLst>
            <c:ext xmlns:c16="http://schemas.microsoft.com/office/drawing/2014/chart" uri="{C3380CC4-5D6E-409C-BE32-E72D297353CC}">
              <c16:uniqueId val="{00000006-9326-480F-8471-4DB847DE3A7D}"/>
            </c:ext>
          </c:extLst>
        </c:ser>
        <c:ser>
          <c:idx val="4"/>
          <c:order val="4"/>
          <c:tx>
            <c:strRef>
              <c:f>'Stock - Live Tracking'!$G$1</c:f>
              <c:strCache>
                <c:ptCount val="1"/>
                <c:pt idx="0">
                  <c:v>Investment</c:v>
                </c:pt>
              </c:strCache>
            </c:strRef>
          </c:tx>
          <c:spPr>
            <a:ln w="28575" cap="rnd">
              <a:solidFill>
                <a:schemeClr val="accent5"/>
              </a:solidFill>
              <a:round/>
            </a:ln>
            <a:effectLst/>
          </c:spPr>
          <c:marker>
            <c:symbol val="none"/>
          </c:marker>
          <c:cat>
            <c:multiLvlStrRef>
              <c:f>'Stock - Live Tracking'!$A$2:$B$10</c:f>
              <c:multiLvlStrCache>
                <c:ptCount val="9"/>
                <c:lvl>
                  <c:pt idx="1">
                    <c:v>Financial Services / Banking</c:v>
                  </c:pt>
                  <c:pt idx="2">
                    <c:v>Information Technology (IT)</c:v>
                  </c:pt>
                  <c:pt idx="3">
                    <c:v>Energy</c:v>
                  </c:pt>
                  <c:pt idx="4">
                    <c:v>Information Technology (IT)</c:v>
                  </c:pt>
                  <c:pt idx="5">
                    <c:v>Financial Services / Banking</c:v>
                  </c:pt>
                  <c:pt idx="6">
                    <c:v>FMCG (Fast-Moving Consumer Goods)</c:v>
                  </c:pt>
                  <c:pt idx="7">
                    <c:v>Commodities / Metals</c:v>
                  </c:pt>
                  <c:pt idx="8">
                    <c:v>Financial Services / Banking</c:v>
                  </c:pt>
                </c:lvl>
                <c:lvl>
                  <c:pt idx="1">
                    <c:v>HDFC BANK LIMITED (XNSE:HDFCBANK)</c:v>
                  </c:pt>
                  <c:pt idx="2">
                    <c:v>INFOSYS LIMITED (XNSE:INFY)</c:v>
                  </c:pt>
                  <c:pt idx="3">
                    <c:v>RELIANCE INDUSTRIES LIMITED (XNSE:RELIANCE)</c:v>
                  </c:pt>
                  <c:pt idx="4">
                    <c:v>TATA CONSULTANCY SERVICES LIMITED (XNSE:TCS)</c:v>
                  </c:pt>
                  <c:pt idx="5">
                    <c:v>ICICI BANK LIMITED (XNSE:ICICIBANK)</c:v>
                  </c:pt>
                  <c:pt idx="6">
                    <c:v>ITC LIMITED (XBOM:500875)</c:v>
                  </c:pt>
                  <c:pt idx="7">
                    <c:v>TATA STEEL LIMITED (XNSE:TATASTEEL)</c:v>
                  </c:pt>
                  <c:pt idx="8">
                    <c:v>State Bank of India (XNSE:SBIN)</c:v>
                  </c:pt>
                </c:lvl>
              </c:multiLvlStrCache>
            </c:multiLvlStrRef>
          </c:cat>
          <c:val>
            <c:numRef>
              <c:f>'Stock - Live Tracking'!$G$2:$G$10</c:f>
              <c:numCache>
                <c:formatCode>General</c:formatCode>
                <c:ptCount val="9"/>
                <c:pt idx="1">
                  <c:v>5500</c:v>
                </c:pt>
                <c:pt idx="2">
                  <c:v>25242</c:v>
                </c:pt>
                <c:pt idx="3">
                  <c:v>12000</c:v>
                </c:pt>
                <c:pt idx="4">
                  <c:v>50600</c:v>
                </c:pt>
                <c:pt idx="5">
                  <c:v>1419</c:v>
                </c:pt>
                <c:pt idx="6">
                  <c:v>9234</c:v>
                </c:pt>
                <c:pt idx="7">
                  <c:v>6875.64</c:v>
                </c:pt>
                <c:pt idx="8">
                  <c:v>2002.68</c:v>
                </c:pt>
              </c:numCache>
            </c:numRef>
          </c:val>
          <c:smooth val="0"/>
          <c:extLst>
            <c:ext xmlns:c16="http://schemas.microsoft.com/office/drawing/2014/chart" uri="{C3380CC4-5D6E-409C-BE32-E72D297353CC}">
              <c16:uniqueId val="{00000008-9326-480F-8471-4DB847DE3A7D}"/>
            </c:ext>
          </c:extLst>
        </c:ser>
        <c:ser>
          <c:idx val="5"/>
          <c:order val="5"/>
          <c:tx>
            <c:strRef>
              <c:f>'Stock - Live Tracking'!$H$1</c:f>
              <c:strCache>
                <c:ptCount val="1"/>
                <c:pt idx="0">
                  <c:v>Profit/Loss</c:v>
                </c:pt>
              </c:strCache>
            </c:strRef>
          </c:tx>
          <c:spPr>
            <a:ln w="28575" cap="rnd">
              <a:solidFill>
                <a:schemeClr val="accent6"/>
              </a:solidFill>
              <a:round/>
            </a:ln>
            <a:effectLst/>
          </c:spPr>
          <c:marker>
            <c:symbol val="none"/>
          </c:marker>
          <c:cat>
            <c:multiLvlStrRef>
              <c:f>'Stock - Live Tracking'!$A$2:$B$10</c:f>
              <c:multiLvlStrCache>
                <c:ptCount val="9"/>
                <c:lvl>
                  <c:pt idx="1">
                    <c:v>Financial Services / Banking</c:v>
                  </c:pt>
                  <c:pt idx="2">
                    <c:v>Information Technology (IT)</c:v>
                  </c:pt>
                  <c:pt idx="3">
                    <c:v>Energy</c:v>
                  </c:pt>
                  <c:pt idx="4">
                    <c:v>Information Technology (IT)</c:v>
                  </c:pt>
                  <c:pt idx="5">
                    <c:v>Financial Services / Banking</c:v>
                  </c:pt>
                  <c:pt idx="6">
                    <c:v>FMCG (Fast-Moving Consumer Goods)</c:v>
                  </c:pt>
                  <c:pt idx="7">
                    <c:v>Commodities / Metals</c:v>
                  </c:pt>
                  <c:pt idx="8">
                    <c:v>Financial Services / Banking</c:v>
                  </c:pt>
                </c:lvl>
                <c:lvl>
                  <c:pt idx="1">
                    <c:v>HDFC BANK LIMITED (XNSE:HDFCBANK)</c:v>
                  </c:pt>
                  <c:pt idx="2">
                    <c:v>INFOSYS LIMITED (XNSE:INFY)</c:v>
                  </c:pt>
                  <c:pt idx="3">
                    <c:v>RELIANCE INDUSTRIES LIMITED (XNSE:RELIANCE)</c:v>
                  </c:pt>
                  <c:pt idx="4">
                    <c:v>TATA CONSULTANCY SERVICES LIMITED (XNSE:TCS)</c:v>
                  </c:pt>
                  <c:pt idx="5">
                    <c:v>ICICI BANK LIMITED (XNSE:ICICIBANK)</c:v>
                  </c:pt>
                  <c:pt idx="6">
                    <c:v>ITC LIMITED (XBOM:500875)</c:v>
                  </c:pt>
                  <c:pt idx="7">
                    <c:v>TATA STEEL LIMITED (XNSE:TATASTEEL)</c:v>
                  </c:pt>
                  <c:pt idx="8">
                    <c:v>State Bank of India (XNSE:SBIN)</c:v>
                  </c:pt>
                </c:lvl>
              </c:multiLvlStrCache>
            </c:multiLvlStrRef>
          </c:cat>
          <c:val>
            <c:numRef>
              <c:f>'Stock - Live Tracking'!$H$2:$H$10</c:f>
              <c:numCache>
                <c:formatCode>0.00</c:formatCode>
                <c:ptCount val="9"/>
                <c:pt idx="1">
                  <c:v>2423.2999999999993</c:v>
                </c:pt>
                <c:pt idx="2">
                  <c:v>-1218</c:v>
                </c:pt>
                <c:pt idx="3">
                  <c:v>-1704</c:v>
                </c:pt>
                <c:pt idx="4">
                  <c:v>3266</c:v>
                </c:pt>
                <c:pt idx="5">
                  <c:v>3.7999999999999545</c:v>
                </c:pt>
                <c:pt idx="6">
                  <c:v>-2052</c:v>
                </c:pt>
                <c:pt idx="7">
                  <c:v>-161.64000000000033</c:v>
                </c:pt>
                <c:pt idx="8">
                  <c:v>92.319999999999936</c:v>
                </c:pt>
              </c:numCache>
            </c:numRef>
          </c:val>
          <c:smooth val="0"/>
          <c:extLst>
            <c:ext xmlns:c16="http://schemas.microsoft.com/office/drawing/2014/chart" uri="{C3380CC4-5D6E-409C-BE32-E72D297353CC}">
              <c16:uniqueId val="{0000000A-9326-480F-8471-4DB847DE3A7D}"/>
            </c:ext>
          </c:extLst>
        </c:ser>
        <c:ser>
          <c:idx val="6"/>
          <c:order val="6"/>
          <c:tx>
            <c:strRef>
              <c:f>'Stock - Live Tracking'!$I$1</c:f>
              <c:strCache>
                <c:ptCount val="1"/>
                <c:pt idx="0">
                  <c:v>Percentage %</c:v>
                </c:pt>
              </c:strCache>
            </c:strRef>
          </c:tx>
          <c:spPr>
            <a:ln w="28575" cap="rnd">
              <a:solidFill>
                <a:schemeClr val="accent1">
                  <a:lumMod val="60000"/>
                </a:schemeClr>
              </a:solidFill>
              <a:round/>
            </a:ln>
            <a:effectLst/>
          </c:spPr>
          <c:marker>
            <c:symbol val="none"/>
          </c:marker>
          <c:cat>
            <c:multiLvlStrRef>
              <c:f>'Stock - Live Tracking'!$A$2:$B$10</c:f>
              <c:multiLvlStrCache>
                <c:ptCount val="9"/>
                <c:lvl>
                  <c:pt idx="1">
                    <c:v>Financial Services / Banking</c:v>
                  </c:pt>
                  <c:pt idx="2">
                    <c:v>Information Technology (IT)</c:v>
                  </c:pt>
                  <c:pt idx="3">
                    <c:v>Energy</c:v>
                  </c:pt>
                  <c:pt idx="4">
                    <c:v>Information Technology (IT)</c:v>
                  </c:pt>
                  <c:pt idx="5">
                    <c:v>Financial Services / Banking</c:v>
                  </c:pt>
                  <c:pt idx="6">
                    <c:v>FMCG (Fast-Moving Consumer Goods)</c:v>
                  </c:pt>
                  <c:pt idx="7">
                    <c:v>Commodities / Metals</c:v>
                  </c:pt>
                  <c:pt idx="8">
                    <c:v>Financial Services / Banking</c:v>
                  </c:pt>
                </c:lvl>
                <c:lvl>
                  <c:pt idx="1">
                    <c:v>HDFC BANK LIMITED (XNSE:HDFCBANK)</c:v>
                  </c:pt>
                  <c:pt idx="2">
                    <c:v>INFOSYS LIMITED (XNSE:INFY)</c:v>
                  </c:pt>
                  <c:pt idx="3">
                    <c:v>RELIANCE INDUSTRIES LIMITED (XNSE:RELIANCE)</c:v>
                  </c:pt>
                  <c:pt idx="4">
                    <c:v>TATA CONSULTANCY SERVICES LIMITED (XNSE:TCS)</c:v>
                  </c:pt>
                  <c:pt idx="5">
                    <c:v>ICICI BANK LIMITED (XNSE:ICICIBANK)</c:v>
                  </c:pt>
                  <c:pt idx="6">
                    <c:v>ITC LIMITED (XBOM:500875)</c:v>
                  </c:pt>
                  <c:pt idx="7">
                    <c:v>TATA STEEL LIMITED (XNSE:TATASTEEL)</c:v>
                  </c:pt>
                  <c:pt idx="8">
                    <c:v>State Bank of India (XNSE:SBIN)</c:v>
                  </c:pt>
                </c:lvl>
              </c:multiLvlStrCache>
            </c:multiLvlStrRef>
          </c:cat>
          <c:val>
            <c:numRef>
              <c:f>'Stock - Live Tracking'!$I$2:$I$10</c:f>
              <c:numCache>
                <c:formatCode>0.00%</c:formatCode>
                <c:ptCount val="9"/>
                <c:pt idx="1">
                  <c:v>0.44059999999999988</c:v>
                </c:pt>
                <c:pt idx="2">
                  <c:v>-4.8252911813643926E-2</c:v>
                </c:pt>
                <c:pt idx="3">
                  <c:v>-0.14199999999999999</c:v>
                </c:pt>
                <c:pt idx="4">
                  <c:v>6.4545454545454545E-2</c:v>
                </c:pt>
                <c:pt idx="5">
                  <c:v>2.6779422128259019E-3</c:v>
                </c:pt>
                <c:pt idx="6">
                  <c:v>-0.22222222222222221</c:v>
                </c:pt>
                <c:pt idx="7">
                  <c:v>-2.3509084245248488E-2</c:v>
                </c:pt>
                <c:pt idx="8">
                  <c:v>4.6098228373978832E-2</c:v>
                </c:pt>
              </c:numCache>
            </c:numRef>
          </c:val>
          <c:smooth val="0"/>
          <c:extLst>
            <c:ext xmlns:c16="http://schemas.microsoft.com/office/drawing/2014/chart" uri="{C3380CC4-5D6E-409C-BE32-E72D297353CC}">
              <c16:uniqueId val="{0000000C-9326-480F-8471-4DB847DE3A7D}"/>
            </c:ext>
          </c:extLst>
        </c:ser>
        <c:dLbls>
          <c:showLegendKey val="0"/>
          <c:showVal val="0"/>
          <c:showCatName val="0"/>
          <c:showSerName val="0"/>
          <c:showPercent val="0"/>
          <c:showBubbleSize val="0"/>
        </c:dLbls>
        <c:smooth val="0"/>
        <c:axId val="1932636679"/>
        <c:axId val="1962715655"/>
      </c:lineChart>
      <c:catAx>
        <c:axId val="19326366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2715655"/>
        <c:crosses val="autoZero"/>
        <c:auto val="1"/>
        <c:lblAlgn val="ctr"/>
        <c:lblOffset val="100"/>
        <c:noMultiLvlLbl val="0"/>
      </c:catAx>
      <c:valAx>
        <c:axId val="19627156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263667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multiLvlStrRef>
              <c:f>'Stock - Live Tracking'!$F$13:$G$14</c:f>
              <c:multiLvlStrCache>
                <c:ptCount val="2"/>
                <c:lvl>
                  <c:pt idx="0">
                    <c:v>TATA CONSULTANCY SERVICES LIMITED (XNSE:TCS)</c:v>
                  </c:pt>
                  <c:pt idx="1">
                    <c:v>ITC LIMITED (XBOM:500875)</c:v>
                  </c:pt>
                </c:lvl>
                <c:lvl>
                  <c:pt idx="0">
                    <c:v>Top Gainer</c:v>
                  </c:pt>
                  <c:pt idx="1">
                    <c:v>Top Loser</c:v>
                  </c:pt>
                </c:lvl>
              </c:multiLvlStrCache>
            </c:multiLvlStrRef>
          </c:cat>
          <c:val>
            <c:numRef>
              <c:f>'Stock - Live Tracking'!$F$15:$G$15</c:f>
              <c:numCache>
                <c:formatCode>0.00</c:formatCode>
                <c:ptCount val="2"/>
                <c:pt idx="0">
                  <c:v>3266</c:v>
                </c:pt>
                <c:pt idx="1">
                  <c:v>-2052</c:v>
                </c:pt>
              </c:numCache>
            </c:numRef>
          </c:val>
          <c:extLst>
            <c:ext xmlns:c16="http://schemas.microsoft.com/office/drawing/2014/chart" uri="{C3380CC4-5D6E-409C-BE32-E72D297353CC}">
              <c16:uniqueId val="{00000000-7D3B-40B1-864F-1FE15B4A34C4}"/>
            </c:ext>
          </c:extLst>
        </c:ser>
        <c:dLbls>
          <c:showLegendKey val="0"/>
          <c:showVal val="0"/>
          <c:showCatName val="0"/>
          <c:showSerName val="0"/>
          <c:showPercent val="0"/>
          <c:showBubbleSize val="0"/>
        </c:dLbls>
        <c:gapWidth val="219"/>
        <c:overlap val="-27"/>
        <c:axId val="1890683399"/>
        <c:axId val="1979198471"/>
      </c:barChart>
      <c:catAx>
        <c:axId val="18906833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9198471"/>
        <c:crosses val="autoZero"/>
        <c:auto val="1"/>
        <c:lblAlgn val="ctr"/>
        <c:lblOffset val="100"/>
        <c:noMultiLvlLbl val="0"/>
      </c:catAx>
      <c:valAx>
        <c:axId val="197919847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068339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ndard"/>
        <c:varyColors val="0"/>
        <c:ser>
          <c:idx val="0"/>
          <c:order val="0"/>
          <c:spPr>
            <a:solidFill>
              <a:schemeClr val="accent1"/>
            </a:solidFill>
            <a:ln>
              <a:noFill/>
            </a:ln>
            <a:effectLst/>
          </c:spPr>
          <c:cat>
            <c:strRef>
              <c:f>'Stock - Live Tracking'!$A$13:$A$16</c:f>
              <c:strCache>
                <c:ptCount val="4"/>
                <c:pt idx="0">
                  <c:v>Total Investmmnet</c:v>
                </c:pt>
                <c:pt idx="1">
                  <c:v>Total Current Value</c:v>
                </c:pt>
                <c:pt idx="2">
                  <c:v>Total Profit/Loss</c:v>
                </c:pt>
                <c:pt idx="3">
                  <c:v>Overall Return</c:v>
                </c:pt>
              </c:strCache>
            </c:strRef>
          </c:cat>
          <c:val>
            <c:numRef>
              <c:f>'Stock - Live Tracking'!$B$13:$B$16</c:f>
              <c:numCache>
                <c:formatCode>0.00</c:formatCode>
                <c:ptCount val="4"/>
                <c:pt idx="0">
                  <c:v>112873.31999999999</c:v>
                </c:pt>
                <c:pt idx="1">
                  <c:v>113523.1</c:v>
                </c:pt>
                <c:pt idx="2">
                  <c:v>649.77999999999906</c:v>
                </c:pt>
                <c:pt idx="3" formatCode="0.00%">
                  <c:v>5.756719125476234E-3</c:v>
                </c:pt>
              </c:numCache>
            </c:numRef>
          </c:val>
          <c:extLst>
            <c:ext xmlns:c16="http://schemas.microsoft.com/office/drawing/2014/chart" uri="{C3380CC4-5D6E-409C-BE32-E72D297353CC}">
              <c16:uniqueId val="{00000000-26AA-45DD-9A0D-260B32CECE73}"/>
            </c:ext>
          </c:extLst>
        </c:ser>
        <c:dLbls>
          <c:showLegendKey val="0"/>
          <c:showVal val="0"/>
          <c:showCatName val="0"/>
          <c:showSerName val="0"/>
          <c:showPercent val="0"/>
          <c:showBubbleSize val="0"/>
        </c:dLbls>
        <c:axId val="1988701191"/>
        <c:axId val="1988748807"/>
      </c:areaChart>
      <c:catAx>
        <c:axId val="1988701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8748807"/>
        <c:crosses val="autoZero"/>
        <c:auto val="1"/>
        <c:lblAlgn val="ctr"/>
        <c:lblOffset val="100"/>
        <c:noMultiLvlLbl val="0"/>
      </c:catAx>
      <c:valAx>
        <c:axId val="198874880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870119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447675</xdr:colOff>
      <xdr:row>17</xdr:row>
      <xdr:rowOff>171450</xdr:rowOff>
    </xdr:from>
    <xdr:to>
      <xdr:col>1</xdr:col>
      <xdr:colOff>2362200</xdr:colOff>
      <xdr:row>28</xdr:row>
      <xdr:rowOff>114300</xdr:rowOff>
    </xdr:to>
    <xdr:graphicFrame macro="">
      <xdr:nvGraphicFramePr>
        <xdr:cNvPr id="2" name="Chart 1">
          <a:extLst>
            <a:ext uri="{FF2B5EF4-FFF2-40B4-BE49-F238E27FC236}">
              <a16:creationId xmlns:a16="http://schemas.microsoft.com/office/drawing/2014/main" id="{AC230D54-E53A-4305-BBD9-B660AF2AA9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371475</xdr:colOff>
      <xdr:row>17</xdr:row>
      <xdr:rowOff>0</xdr:rowOff>
    </xdr:from>
    <xdr:to>
      <xdr:col>5</xdr:col>
      <xdr:colOff>3419475</xdr:colOff>
      <xdr:row>29</xdr:row>
      <xdr:rowOff>142875</xdr:rowOff>
    </xdr:to>
    <xdr:graphicFrame macro="">
      <xdr:nvGraphicFramePr>
        <xdr:cNvPr id="6" name="Chart 5">
          <a:extLst>
            <a:ext uri="{FF2B5EF4-FFF2-40B4-BE49-F238E27FC236}">
              <a16:creationId xmlns:a16="http://schemas.microsoft.com/office/drawing/2014/main" id="{C7151867-8546-16D0-965B-13DE7F9E3A2F}"/>
            </a:ext>
            <a:ext uri="{147F2762-F138-4A5C-976F-8EAC2B608ADB}">
              <a16:predDERef xmlns:a16="http://schemas.microsoft.com/office/drawing/2014/main" pred="{AC230D54-E53A-4305-BBD9-B660AF2AA9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390525</xdr:colOff>
      <xdr:row>16</xdr:row>
      <xdr:rowOff>171450</xdr:rowOff>
    </xdr:from>
    <xdr:to>
      <xdr:col>9</xdr:col>
      <xdr:colOff>885825</xdr:colOff>
      <xdr:row>31</xdr:row>
      <xdr:rowOff>57150</xdr:rowOff>
    </xdr:to>
    <xdr:graphicFrame macro="">
      <xdr:nvGraphicFramePr>
        <xdr:cNvPr id="10" name="Chart 9">
          <a:extLst>
            <a:ext uri="{FF2B5EF4-FFF2-40B4-BE49-F238E27FC236}">
              <a16:creationId xmlns:a16="http://schemas.microsoft.com/office/drawing/2014/main" id="{3153A152-205B-C9ED-6D5F-8F86A4E72907}"/>
            </a:ext>
            <a:ext uri="{147F2762-F138-4A5C-976F-8EAC2B608ADB}">
              <a16:predDERef xmlns:a16="http://schemas.microsoft.com/office/drawing/2014/main" pred="{C7151867-8546-16D0-965B-13DE7F9E3A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66675</xdr:colOff>
      <xdr:row>17</xdr:row>
      <xdr:rowOff>76200</xdr:rowOff>
    </xdr:from>
    <xdr:to>
      <xdr:col>18</xdr:col>
      <xdr:colOff>371475</xdr:colOff>
      <xdr:row>31</xdr:row>
      <xdr:rowOff>152400</xdr:rowOff>
    </xdr:to>
    <xdr:graphicFrame macro="">
      <xdr:nvGraphicFramePr>
        <xdr:cNvPr id="12" name="Chart 11">
          <a:extLst>
            <a:ext uri="{FF2B5EF4-FFF2-40B4-BE49-F238E27FC236}">
              <a16:creationId xmlns:a16="http://schemas.microsoft.com/office/drawing/2014/main" id="{9DA92610-65FE-4010-401C-F4D730B05BEB}"/>
            </a:ext>
            <a:ext uri="{147F2762-F138-4A5C-976F-8EAC2B608ADB}">
              <a16:predDERef xmlns:a16="http://schemas.microsoft.com/office/drawing/2014/main" pred="{3153A152-205B-C9ED-6D5F-8F86A4E729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imageurl">
      <keyFlags>
        <key name="Blip Identifier">
          <flag name="ShowInCardView" value="0"/>
        </key>
      </keyFlags>
    </type>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28">
  <rv s="0">
    <v>https://www.bing.com/financeapi/forcetrigger?t=ahi3jc&amp;q=XNSE%3aHDFCBANK&amp;form=skydnc</v>
    <v>Learn more on Bing</v>
  </rv>
  <rv s="1">
    <v>en-GB</v>
    <v>ahi3jc</v>
    <v>268435456</v>
    <v>1</v>
    <v>Powered by Refinitiv</v>
    <v>0</v>
    <v>HDFC BANK LIMITED (XNSE:HDFCBANK)</v>
    <v>2</v>
    <v>3</v>
    <v>Finance</v>
    <v>4</v>
    <v>1020.5</v>
    <v>707</v>
    <v>0.98660000000000003</v>
    <v>9.3000000000000007</v>
    <v>1.3080000000000001E-2</v>
    <v>INR</v>
    <v>HDFC Bank Limited (the Bank) is an India-based banking company. The Bank, along with its subsidiaries, is engaged in providing a range of banking and financial services, including retail banking, wholesale banking, treasury operations, insurance, asset management, stockbroking and other financial services businesses. Its segment includes treasury, retail banking, wholesale banking, and other banking operations. The treasury segment consists of net interest earnings from the Bank’s investment portfolio, money market borrowing and lending, and gains or losses on investment operations. The retail banking segment consists of digital banking and other retail banking. The wholesale banking segment provides loans, non-fund facilities and transaction services to corporates, emerging corporates, public sector units, government bodies, and others. The other banking operations segment includes parabanking activities such as credit cards, debit cards, third-party product distribution, and others.</v>
    <v>211178</v>
    <v>National Stock Exchange of India</v>
    <v>XNSE</v>
    <v>XNSE</v>
    <v>'Hdfc Bank House', Senapati Bapat Road, Lower Parel (West), Mumbai India, MUMBAI, MAHARASHTRA, 400013 IN</v>
    <v>720.3</v>
    <v>Banking Services</v>
    <v>Stock</v>
    <v>46262.4375</v>
    <v>0</v>
    <v>707</v>
    <v>10957220000000</v>
    <v>HDFC BANK LIMITED</v>
    <v>HDFC BANK LIMITED</v>
    <v>710.85</v>
    <v>14.018599999999999</v>
    <v>711</v>
    <v>720.3</v>
    <v>15411000000</v>
    <v>HDFCBANK</v>
    <v>HDFC BANK LIMITED (XNSE:HDFCBANK)</v>
    <v>16494301</v>
    <v>19028720</v>
    <v>1994</v>
  </rv>
  <rv s="2">
    <v>1</v>
  </rv>
  <rv s="0">
    <v>https://www.bing.com/financeapi/forcetrigger?t=ahicim&amp;q=XNSE%3aINFY&amp;form=skydnc</v>
    <v>Learn more on Bing</v>
  </rv>
  <rv s="1">
    <v>en-GB</v>
    <v>ahicim</v>
    <v>268435456</v>
    <v>1</v>
    <v>Powered by Refinitiv</v>
    <v>0</v>
    <v>INFOSYS LIMITED (XNSE:INFY)</v>
    <v>2</v>
    <v>3</v>
    <v>Finance</v>
    <v>4</v>
    <v>1728</v>
    <v>982.4</v>
    <v>0.72009999999999996</v>
    <v>33.200000000000003</v>
    <v>2.9887999999999998E-2</v>
    <v>INR</v>
    <v>Infosys Limited is an India-based company which provides digital services and consulting. The Company enables clients in approximately 63 countries to navigate their digital transformation powered by cloud and artificial intelligence (AI). Its segments include Financial Services; Retail; Communication; Energy, Utilities, Resources and Services; Manufacturing; Hi-Tech; Life Sciences, and All other segments. The Company's solutions have been primarily classified as digital and core. Its digital solutions include experience, insight, innovate, accelerate, and assure. Its experience solutions include Infosys Aster, Digital Marketing, Digital Commerce and Infosys Metaverse Foundry. Its insight solutions include Infosys Topaz, Infosys Generative AI Labs, Data Analytics and AI, Infosys Sustainability Services and Applied AI. Its core solutions include application management services, proprietary application development services, traditional enterprise application implementation and others.</v>
    <v>328062</v>
    <v>National Stock Exchange of India</v>
    <v>XNSE</v>
    <v>XNSE</v>
    <v>Electronics City Hosur Rd, BANGALORE, KARNATAKA, 560100 IN</v>
    <v>1145</v>
    <v>Software &amp; IT Services</v>
    <v>Stock</v>
    <v>46262.4375</v>
    <v>3</v>
    <v>1123.3</v>
    <v>4499073000000</v>
    <v>INFOSYS LIMITED</v>
    <v>INFOSYS LIMITED</v>
    <v>1123.5999999999999</v>
    <v>14.98</v>
    <v>1110.8</v>
    <v>1144</v>
    <v>4050300000</v>
    <v>INFY</v>
    <v>INFOSYS LIMITED (XNSE:INFY)</v>
    <v>9621969</v>
    <v>7282120</v>
    <v>1981</v>
  </rv>
  <rv s="2">
    <v>4</v>
  </rv>
  <rv s="0">
    <v>https://www.bing.com/financeapi/forcetrigger?t=ahjo52&amp;q=XNSE%3aRELIANCE&amp;form=skydnc</v>
    <v>Learn more on Bing</v>
  </rv>
  <rv s="1">
    <v>en-GB</v>
    <v>ahjo52</v>
    <v>268435456</v>
    <v>1</v>
    <v>Powered by Refinitiv</v>
    <v>0</v>
    <v>RELIANCE INDUSTRIES LIMITED (XNSE:RELIANCE)</v>
    <v>2</v>
    <v>3</v>
    <v>Finance</v>
    <v>4</v>
    <v>1611.8</v>
    <v>1249.8</v>
    <v>1.0215000000000001</v>
    <v>4.8</v>
    <v>3.7439999999999999E-3</v>
    <v>INR</v>
    <v>Reliance Industries Limited is engaged in the activities of hydrocarbon exploration and production, petroleum refining and marketing, petrochemicals, advanced materials and composites, renewables (solar and hydrogen), retail, digital services, and media and entertainment. The Company's segments include Oil to Chemicals (O2C), Oil and Gas, Retail, Digital Services, and Others. The O2C segment covers refining, petrochemicals, fuel retailing, aviation fuel, and bulk wholesale marketing, with a portfolio spanning transportation fuels, polymers, polyesters, and elastomers. The Oil and Gas segment focuses on the exploration, development, and production of crude oil and natural gas. The Retail segment involves consumer retail and related services. The Digital Services segment provides a range of digital services. Its subsidiaries include 7-India Convenience Retail Limited, Amante India Limited, Cover Story Clothing Limited, and others.</v>
    <v>290293</v>
    <v>National Stock Exchange of India</v>
    <v>XNSE</v>
    <v>XNSE</v>
    <v>Maker Chambers IV, Nariman Point, MUMBAI, MAHARASHTRA, 400021 IN</v>
    <v>1291.8</v>
    <v>Oil &amp; Gas</v>
    <v>Stock</v>
    <v>46262.4375</v>
    <v>6</v>
    <v>1280</v>
    <v>17351420000000</v>
    <v>RELIANCE INDUSTRIES LIMITED</v>
    <v>RELIANCE INDUSTRIES LIMITED</v>
    <v>1284.9000000000001</v>
    <v>23.306799999999999</v>
    <v>1282.2</v>
    <v>1287</v>
    <v>13532810000</v>
    <v>RELIANCE</v>
    <v>RELIANCE INDUSTRIES LIMITED (XNSE:RELIANCE)</v>
    <v>6830228</v>
    <v>8206660</v>
    <v>1973</v>
  </rv>
  <rv s="2">
    <v>7</v>
  </rv>
  <rv s="0">
    <v>https://www.bing.com/financeapi/forcetrigger?t=ahkau2&amp;q=XNSE%3aTCS&amp;form=skydnc</v>
    <v>Learn more on Bing</v>
  </rv>
  <rv s="1">
    <v>en-GB</v>
    <v>ahkau2</v>
    <v>268435456</v>
    <v>1</v>
    <v>Powered by Refinitiv</v>
    <v>0</v>
    <v>TATA CONSULTANCY SERVICES LIMITED (XNSE:TCS)</v>
    <v>2</v>
    <v>3</v>
    <v>Finance</v>
    <v>4</v>
    <v>3350</v>
    <v>1976.8</v>
    <v>0.97799999999999998</v>
    <v>93.6</v>
    <v>4.163E-2</v>
    <v>INR</v>
    <v>Tata Consultancy Services Ltd is an India-based company. The Company is engaged in providing information technology (IT) services, consulting, and business solutions. Its business segments include Banking, Financial Services and Insurance; Manufacturing; Consumer Business; Communication, Media and Technology; Life Sciences and Healthcare and Others such as Energy, Resources and Utilities, s-Governance and Products. The Company's products include TCS ADD, TCS BaNCS, TCS BFSI Platforms, TCS CHROMA, TCS Customer Intelligence &amp; Insights, TCS ERP on Cloud, TCS Intelligent Urban Exchange, Quartz-The Smart Ledgers, TCS Optumera, TCS TwinX, TCS TAP, TCS OmniStore, TCS MasterCraft, Jile, and others. Its services consist of Artificial Intelligence and Data &amp; Analytics, Cloud, Cognitive Business Operations, Consulting, Cybersecurity, Enterprise Solutions, Industrial Autonomy and Engineering, and Network Solutions and Services, TCS Interactive, and others.</v>
    <v>593798</v>
    <v>National Stock Exchange of India</v>
    <v>XNSE</v>
    <v>XNSE</v>
    <v>9th Floor Nirmal Building Nariman Point, MUMBAI, MAHARASHTRA, 400021 IN</v>
    <v>2348.5</v>
    <v>Software &amp; IT Services</v>
    <v>Stock</v>
    <v>46262.4375</v>
    <v>9</v>
    <v>2263.3000000000002</v>
    <v>8134908000000</v>
    <v>TATA CONSULTANCY SERVICES LIMITED</v>
    <v>TATA CONSULTANCY SERVICES LIMITED</v>
    <v>2272</v>
    <v>17.015499999999999</v>
    <v>2248.4</v>
    <v>2342</v>
    <v>3618087000</v>
    <v>TCS</v>
    <v>TATA CONSULTANCY SERVICES LIMITED (XNSE:TCS)</v>
    <v>4054069</v>
    <v>2211970</v>
    <v>1995</v>
  </rv>
  <rv s="2">
    <v>10</v>
  </rv>
  <rv s="0">
    <v>http://en.wikipedia.org/wiki/Public_domain</v>
    <v>Public domain</v>
  </rv>
  <rv s="0">
    <v>http://zh.wikipedia.org/wiki/ICICI银行</v>
    <v>Wikipedia</v>
  </rv>
  <rv s="3">
    <v>12</v>
    <v>13</v>
  </rv>
  <rv s="4">
    <v>9</v>
    <v>https://www.bing.com/th?id=AMMS_7a55564cbcf9b185c2bd50f7f3a85b23&amp;qlt=95</v>
    <v>14</v>
    <v>0</v>
    <v>https://www.bing.com/images/search?form=xlimg&amp;q=icici+bank</v>
    <v>Image of ICICI BANK LIMITED</v>
  </rv>
  <rv s="0">
    <v>https://www.bing.com/financeapi/forcetrigger?t=ahi877&amp;q=XNSE%3aICICIBANK&amp;form=skydnc</v>
    <v>Learn more on Bing</v>
  </rv>
  <rv s="5">
    <v>en-GB</v>
    <v>ahi877</v>
    <v>268435456</v>
    <v>1</v>
    <v>Powered by Refinitiv</v>
    <v>5</v>
    <v>ICICI BANK LIMITED (XNSE:ICICIBANK)</v>
    <v>7</v>
    <v>8</v>
    <v>Finance</v>
    <v>4</v>
    <v>1480</v>
    <v>1187.5999999999999</v>
    <v>0.98770000000000002</v>
    <v>-20.2</v>
    <v>-1.3998999999999999E-2</v>
    <v>INR</v>
    <v>ICICI Bank Limited is a diversified financial services company offering a range of banking and financial services to corporate and retail customers through a variety of delivery channels. The Company offers life and general insurance, asset management, securities broking and private equity products and services through specialized subsidiaries. Its segments include Retail Banking, Wholesale Banking, Treasury, Other Banking, Life Insurance, General Insurance, and Others. Its commercial banking operations for retail customers consist of retail lending, deposit taking, distribution of insurance and investment products and other fee-based products and services. It provides a range of commercial banking products and services, including loan products, fee and commission-based products and services, deposit products and foreign exchange and derivatives products to large corporations, middle market companies and small and medium enterprises. It offers agricultural and rural banking products.</v>
    <v>124029</v>
    <v>National Stock Exchange of India</v>
    <v>XNSE</v>
    <v>XNSE</v>
    <v>ICICI Bank Towers, Bandra-Kurla Complex, MUMBAI, MAHARASHTRA, 400051 IN</v>
    <v>1439.8</v>
    <v>15</v>
    <v>Banking Services</v>
    <v>Stock</v>
    <v>46262.4375</v>
    <v>16</v>
    <v>1418.9</v>
    <v>10355800000000</v>
    <v>ICICI BANK LIMITED</v>
    <v>ICICI BANK LIMITED</v>
    <v>1435</v>
    <v>18.1464</v>
    <v>1443</v>
    <v>1422.8</v>
    <v>7176577000</v>
    <v>ICICIBANK</v>
    <v>ICICI BANK LIMITED (XNSE:ICICIBANK)</v>
    <v>8625738</v>
    <v>7221890</v>
    <v>1994</v>
  </rv>
  <rv s="2">
    <v>17</v>
  </rv>
  <rv s="0">
    <v>https://www.bing.com/financeapi/forcetrigger?t=ah8bkr&amp;q=XBOM%3a500875&amp;form=skydnc</v>
    <v>Learn more on Bing</v>
  </rv>
  <rv s="6">
    <v>en-GB</v>
    <v>ah8bkr</v>
    <v>268435456</v>
    <v>1</v>
    <v>Powered by Refinitiv</v>
    <v>10</v>
    <v>ITC LIMITED (XBOM:500875)</v>
    <v>2</v>
    <v>11</v>
    <v>Finance</v>
    <v>12</v>
    <v>426.5</v>
    <v>264.89999999999998</v>
    <v>0.95320000000000005</v>
    <v>-1.4</v>
    <v>0</v>
    <v>-5.2359999999999993E-3</v>
    <v>0</v>
    <v>INR</v>
    <v>ITC Limited is an India-based diversified conglomerate company. The Company’s segments include Fast Moving Consumer Goods (FMCG), Paperboards, Paper and Packaging, and Agri Business. The FMCG segment comprises products, such as cigarettes, cigars, education and stationery supplies, personal care items, safety matches, agarbattis, and branded packaged foods, which include staples and meals, snacks, dairy and beverages, biscuits and cakes, chocolates, coffee, and confectionery. The Paperboards, Paper and Packaging segment includes specialty paper and flexible packaging. The Agri Business segment involves trading of agricultural commodities such as wheat, rice, spices, coffee, soya, and leaf tobacco. Its FMCG brands include Aashirvaad, Sunfeast, Yippee!, Bingo!, B Natural, 24 Mantra Organic, ITC Master Chef, Fabelle, Sunbean, Fiama, Vivel, Savlon, Classmate, Paperkraft, Mangaldeep, and others. Its personal care brands feature EDW Essenza, Dermafique, Fiama, Vivel, Engage, and others.</v>
    <v>22493</v>
    <v>Bombay Stock Exchange</v>
    <v>XBOM</v>
    <v>XBOM</v>
    <v>37 JAWAHARLAL NEHRU ROAD VIRGINIA HOUSE, WEST BENGAL, 700071 IN</v>
    <v>269</v>
    <v>Food &amp; Tobacco</v>
    <v>Stock</v>
    <v>46262.438611111109</v>
    <v>19</v>
    <v>264.89999999999998</v>
    <v>3370511000000</v>
    <v>ITC LIMITED</v>
    <v>ITC LIMITED</v>
    <v>269</v>
    <v>16.793199999999999</v>
    <v>267.39999999999998</v>
    <v>266</v>
    <v>266</v>
    <v>12529780000</v>
    <v>500875</v>
    <v>ITC LIMITED (XBOM:500875)</v>
    <v>879558</v>
    <v>12506450</v>
    <v>1910</v>
  </rv>
  <rv s="2">
    <v>20</v>
  </rv>
  <rv s="0">
    <v>https://www.bing.com/financeapi/forcetrigger?t=ahkaa2&amp;q=XNSE%3aTATASTEEL&amp;form=skydnc</v>
    <v>Learn more on Bing</v>
  </rv>
  <rv s="1">
    <v>en-GB</v>
    <v>ahkaa2</v>
    <v>268435456</v>
    <v>1</v>
    <v>Powered by Refinitiv</v>
    <v>0</v>
    <v>TATA STEEL LIMITED (XNSE:TATASTEEL)</v>
    <v>2</v>
    <v>3</v>
    <v>Finance</v>
    <v>4</v>
    <v>224.4</v>
    <v>153.05000000000001</v>
    <v>1.1528</v>
    <v>-0.3</v>
    <v>-1.606E-3</v>
    <v>INR</v>
    <v>Tata Steel Limited is an India-based global steel company. The Company and its subsidiaries have presence across the entire value chain of steel manufacturing from mining and processing iron ore and coal to producing and distributing finished products. The Company offers a range of steel products including a portfolio of high value-added downstream products such as hot rolled, cold rolled, coated steel, rebars, wire rods, tubes and wires. Its segments include Tata Steel India, Neelachal Ispat Nigam Limited, Other Indian Operations, Tata Steel Netherlands Operations, Tata Steel UK Operations, Other Trade Related Operations, South East Asian Operations and Rest of the World. It serves customers across diverse markets including construction and infrastructure, construction retail, automotive and ancillaries, energy, engineering goods, packaging, and downstream. Its products include Automotive Steels, Galvano, Tata Agrico (Agriculture, Construction, and Hand Tools), Tata Astrum and others.</v>
    <v>112262</v>
    <v>National Stock Exchange of India</v>
    <v>XNSE</v>
    <v>XNSE</v>
    <v>Bombay House, 24, Homi Modi Street, MUMBAI, MAHARASHTRA, 400001 IN</v>
    <v>188.79</v>
    <v>Metals &amp; Mining</v>
    <v>Stock</v>
    <v>46262.4375</v>
    <v>22</v>
    <v>184.08</v>
    <v>2331924000000</v>
    <v>TATA STEEL LIMITED</v>
    <v>TATA STEEL LIMITED</v>
    <v>187.6</v>
    <v>21.062999999999999</v>
    <v>186.8</v>
    <v>186.5</v>
    <v>12485450000</v>
    <v>TATASTEEL</v>
    <v>TATA STEEL LIMITED (XNSE:TATASTEEL)</v>
    <v>39370394</v>
    <v>22391310</v>
    <v>1907</v>
  </rv>
  <rv s="2">
    <v>23</v>
  </rv>
  <rv s="0">
    <v>https://www.bing.com/financeapi/forcetrigger?t=ahju6h&amp;q=XNSE%3aSBIN&amp;form=skydnc</v>
    <v>Learn more on Bing</v>
  </rv>
  <rv s="7">
    <v>en-GB</v>
    <v>ahju6h</v>
    <v>268435456</v>
    <v>1</v>
    <v>Powered by Refinitiv</v>
    <v>13</v>
    <v>State Bank of India (XNSE:SBIN)</v>
    <v>2</v>
    <v>14</v>
    <v>Finance</v>
    <v>4</v>
    <v>1234.7</v>
    <v>798.5</v>
    <v>1.1719999999999999</v>
    <v>4.5999999999999996</v>
    <v>4.411E-3</v>
    <v>INR</v>
    <v>State Bank of India is an India-based banking and financial services provider. The Company is engaged in providing a wide range of products and services to individuals, commercial enterprises, corporates, public bodies and institutional customers. The Company has a digital platform, YONO 2.0, which is designed to reduce customer acquisition costs by a factor of ten compared to traditional banking methods. Its segments include Treasury, Corporate/Wholesale Banking, Retail Banking, Insurance Business and Other Banking Business. The Treasury segment includes investment portfolios and trading in foreign exchange contracts and derivative contracts. The Corporate/Wholesale Banking segment comprises the lending activities of the corporate accounts group, the commercial client’s group and the stressed assets resolution group. The Retail Banking Segment is engaged in personal banking activities including lending activities to corporate customers having banking relations with its branches.</v>
    <v>245131</v>
    <v>National Stock Exchange of India</v>
    <v>XNSE</v>
    <v>XNSE</v>
    <v>Corporate Centre,14th Floor, State Bank Bhavan, Madame Cama Marg, MUMBAI, MAHARASHTRA, 400021 IN</v>
    <v>1051.2</v>
    <v>Banking Services</v>
    <v>Stock</v>
    <v>46262.4375</v>
    <v>25</v>
    <v>1040.5</v>
    <v>9626611000000</v>
    <v>State Bank of India</v>
    <v>State Bank of India</v>
    <v>1046</v>
    <v>11.18</v>
    <v>1042.9000000000001</v>
    <v>1047.5</v>
    <v>9230617000</v>
    <v>SBIN</v>
    <v>State Bank of India (XNSE:SBIN)</v>
    <v>4969272</v>
    <v>7270500</v>
  </rv>
  <rv s="2">
    <v>26</v>
  </rv>
</rvData>
</file>

<file path=xl/richData/rdrichvaluestructure.xml><?xml version="1.0" encoding="utf-8"?>
<rvStructures xmlns="http://schemas.microsoft.com/office/spreadsheetml/2017/richdata" count="8">
  <s t="_hyperlink">
    <k n="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
    <k n="%cvi" t="r"/>
  </s>
  <s t="_sourceattribution">
    <k n="License" t="r"/>
    <k n="Source" t="r"/>
  </s>
  <s t="_imageurl">
    <k n="_Provider" t="spb"/>
    <k n="Address" t="s"/>
    <k n="Attribution" t="r"/>
    <k n="ComputedImage" t="b"/>
    <k n="More Images 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mage" t="r"/>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core">
    <k n="%EntityCulture" t="s"/>
    <k n="%EntityId" t="s"/>
    <k n="%EntityServiceId"/>
    <k n="%IsRefreshable" t="b"/>
    <k n="%ProviderInfo" t="s"/>
    <k n="_Display" t="spb"/>
    <k n="_DisplayString" t="s"/>
    <k n="_Flags" t="spb"/>
    <k n="_Format" t="spb"/>
    <k n="_Icon" t="s"/>
    <k n="_SubLabel" t="spb"/>
    <k n="52 week high"/>
    <k n="52 week low"/>
    <k n="Beta"/>
    <k n="Change"/>
    <k n="Change % (Extended hours)"/>
    <k n="Change (%)"/>
    <k n="Change (Extended hours)"/>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Price (Extended hours)"/>
    <k n="Shares outstanding"/>
    <k n="Ticker symbol" t="s"/>
    <k n="UniqueName" t="s"/>
    <k n="Volume"/>
    <k n="Volume average"/>
    <k n="Year incorporated"/>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s>
</rvStructures>
</file>

<file path=xl/richData/rdsupportingpropertybag.xml><?xml version="1.0" encoding="utf-8"?>
<supportingPropertyBags xmlns="http://schemas.microsoft.com/office/spreadsheetml/2017/richdata2">
  <spbArrays count="4">
    <a count="42">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a count="43">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Image</v>
      <v t="s">ExchangeID</v>
      <v t="s">%ProviderInfo</v>
    </a>
    <a count="45">
      <v t="s">%EntityServiceId</v>
      <v t="s">_Format</v>
      <v t="s">%IsRefreshable</v>
      <v t="s">%EntityCulture</v>
      <v t="s">%EntityId</v>
      <v t="s">_Icon</v>
      <v t="s">_Display</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a count="41">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_Flags</v>
      <v t="s">UniqueName</v>
      <v t="s">_DisplayString</v>
      <v t="s">LearnMoreOnLink</v>
      <v t="s">ExchangeID</v>
      <v t="s">%ProviderInfo</v>
    </a>
  </spbArrays>
  <spbData count="15">
    <spb s="0">
      <v>0</v>
      <v>Name</v>
      <v>LearnMoreOnLink</v>
    </spb>
    <spb s="1">
      <v>0</v>
      <v>0</v>
      <v>0</v>
    </spb>
    <spb s="2">
      <v>1</v>
      <v>1</v>
      <v>1</v>
      <v>1</v>
    </spb>
    <spb s="3">
      <v>1</v>
      <v>2</v>
      <v>2</v>
      <v>1</v>
      <v>3</v>
      <v>1</v>
      <v>1</v>
      <v>1</v>
      <v>4</v>
      <v>4</v>
      <v>5</v>
      <v>6</v>
      <v>1</v>
      <v>1</v>
      <v>1</v>
      <v>4</v>
      <v>7</v>
      <v>8</v>
      <v>9</v>
      <v>4</v>
    </spb>
    <spb s="4">
      <v>Delayed 5 minutes</v>
      <v>from previous close</v>
      <v>from previous close</v>
      <v>GMT</v>
    </spb>
    <spb s="0">
      <v>1</v>
      <v>Name</v>
      <v>LearnMoreOnLink</v>
    </spb>
    <spb s="5">
      <v>0</v>
      <v>0</v>
    </spb>
    <spb s="6">
      <v>6</v>
      <v>1</v>
      <v>1</v>
      <v>1</v>
      <v>1</v>
    </spb>
    <spb s="7">
      <v>1</v>
      <v>2</v>
      <v>2</v>
      <v>1</v>
      <v>3</v>
      <v>1</v>
      <v>10</v>
      <v>1</v>
      <v>1</v>
      <v>4</v>
      <v>4</v>
      <v>5</v>
      <v>6</v>
      <v>1</v>
      <v>1</v>
      <v>1</v>
      <v>4</v>
      <v>7</v>
      <v>8</v>
      <v>9</v>
      <v>4</v>
    </spb>
    <spb s="8">
      <v>Powered by Refinitiv</v>
    </spb>
    <spb s="0">
      <v>2</v>
      <v>Name</v>
      <v>LearnMoreOnLink</v>
    </spb>
    <spb s="9">
      <v>1</v>
      <v>2</v>
      <v>2</v>
      <v>1</v>
      <v>3</v>
      <v>1</v>
      <v>1</v>
      <v>1</v>
      <v>4</v>
      <v>4</v>
      <v>5</v>
      <v>6</v>
      <v>1</v>
      <v>1</v>
      <v>1</v>
      <v>4</v>
      <v>7</v>
      <v>8</v>
      <v>9</v>
      <v>4</v>
      <v>1</v>
      <v>1</v>
      <v>5</v>
    </spb>
    <spb s="10">
      <v>at close</v>
      <v>from previous close</v>
      <v>from previous close</v>
      <v>GMT</v>
      <v>Delayed 15 minutes</v>
      <v>from close</v>
      <v>from close</v>
    </spb>
    <spb s="0">
      <v>3</v>
      <v>Name</v>
      <v>LearnMoreOnLink</v>
    </spb>
    <spb s="11">
      <v>1</v>
      <v>2</v>
      <v>2</v>
      <v>1</v>
      <v>3</v>
      <v>1</v>
      <v>1</v>
      <v>1</v>
      <v>4</v>
      <v>4</v>
      <v>5</v>
      <v>6</v>
      <v>1</v>
      <v>1</v>
      <v>1</v>
      <v>4</v>
      <v>7</v>
      <v>9</v>
      <v>4</v>
    </spb>
  </spbData>
</supportingPropertyBags>
</file>

<file path=xl/richData/rdsupportingpropertybagstructure.xml><?xml version="1.0" encoding="utf-8"?>
<spbStructures xmlns="http://schemas.microsoft.com/office/spreadsheetml/2017/richdata2" count="12">
  <s>
    <k n="^Order" t="spba"/>
    <k n="TitleProperty" t="s"/>
    <k n="SubTitleProperty" t="s"/>
  </s>
  <s>
    <k n="ShowInCardView" t="b"/>
    <k n="ShowInDotNotation" t="b"/>
    <k n="ShowInAutoComplete" t="b"/>
  </s>
  <s>
    <k n="ExchangeID" t="spb"/>
    <k n="UniqueName" t="spb"/>
    <k n="`%ProviderInfo" t="spb"/>
    <k n="LearnMoreOnLink" t="spb"/>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Price" t="s"/>
    <k n="Change" t="s"/>
    <k n="Change (%)" t="s"/>
    <k n="Last trade time" t="s"/>
  </s>
  <s>
    <k n="ShowInDotNotation" t="b"/>
    <k n="ShowInAutoComplete" t="b"/>
  </s>
  <s>
    <k n="Image" t="spb"/>
    <k n="ExchangeID" t="spb"/>
    <k n="UniqueName" t="spb"/>
    <k n="`%ProviderInfo" t="spb"/>
    <k n="LearnMoreOnLink" t="spb"/>
  </s>
  <s>
    <k n="Low" t="i"/>
    <k n="P/E" t="i"/>
    <k n="Beta" t="i"/>
    <k n="High" t="i"/>
    <k n="Name" t="i"/>
    <k n="Open" t="i"/>
    <k n="Image" t="i"/>
    <k n="Price" t="i"/>
    <k n="Change" t="i"/>
    <k n="Volume" t="i"/>
    <k n="Employees" t="i"/>
    <k n="Change (%)" t="i"/>
    <k n="Market cap" t="i"/>
    <k n="52 week low" t="i"/>
    <k n="52 week high" t="i"/>
    <k n="Previous close" t="i"/>
    <k n="Volume average" t="i"/>
    <k n="Last trade time" t="i"/>
    <k n="Year incorporated" t="i"/>
    <k n="`%EntityServiceId" t="i"/>
    <k n="Shares outstanding" t="i"/>
  </s>
  <s>
    <k n="name" t="s"/>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k n="Price (Extended hours)" t="i"/>
    <k n="Change (Extended hours)" t="i"/>
    <k n="Change % (Extended hours)" t="i"/>
  </s>
  <s>
    <k n="Price" t="s"/>
    <k n="Change" t="s"/>
    <k n="Change (%)" t="s"/>
    <k n="Last trade time" t="s"/>
    <k n="Price (Extended hours)" t="s"/>
    <k n="Change (Extended hours)" t="s"/>
    <k n="Change % (Extended hours)" t="s"/>
  </s>
  <s>
    <k n="Low" t="i"/>
    <k n="P/E" t="i"/>
    <k n="Beta" t="i"/>
    <k n="High" t="i"/>
    <k n="Name" t="i"/>
    <k n="Open" t="i"/>
    <k n="Price" t="i"/>
    <k n="Change" t="i"/>
    <k n="Volume" t="i"/>
    <k n="Employees" t="i"/>
    <k n="Change (%)" t="i"/>
    <k n="Market cap" t="i"/>
    <k n="52 week low" t="i"/>
    <k n="52 week high" t="i"/>
    <k n="Previous close" t="i"/>
    <k n="Volume average" t="i"/>
    <k n="Last trade time" t="i"/>
    <k n="`%EntityServiceId" t="i"/>
    <k n="Shares outstanding" t="i"/>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7">
    <x:dxf>
      <x:numFmt numFmtId="2" formatCode="0.00"/>
    </x:dxf>
    <x:dxf>
      <x:numFmt numFmtId="0" formatCode="General"/>
    </x:dxf>
    <x:dxf>
      <x:numFmt numFmtId="27" formatCode="dd/mm/yyyy\ hh:mm"/>
    </x:dxf>
    <x:dxf>
      <x:numFmt numFmtId="14" formatCode="0.00%"/>
    </x:dxf>
    <x:dxf>
      <x:numFmt numFmtId="3" formatCode="#,##0"/>
    </x:dxf>
    <x:dxf>
      <x:numFmt numFmtId="4" formatCode="#,##0.00"/>
    </x:dxf>
    <x:dxf>
      <x:numFmt numFmtId="1" formatCode="0"/>
    </x:dxf>
  </dxfs>
  <richProperties>
    <rPr n="NumberFormat" t="s"/>
    <rPr n="IsTitleField" t="b"/>
    <rPr n="IsHeroField" t="b"/>
  </richProperties>
  <richStyles>
    <rSty dxfid="1">
      <rpv i="0" xml:space="preserve">_ [$₹-as-IN] * #,##0.00_ ;_ [$₹-as-IN] * -#,##0.00_ ;_ [$₹-as-IN] * "-"??_ ;_ @_ </rpv>
    </rSty>
    <rSty dxfid="5">
      <rpv i="0">#,##0.00</rpv>
    </rSty>
    <rSty>
      <rpv i="1">1</rpv>
    </rSty>
    <rSty dxfid="4">
      <rpv i="0">#,##0</rpv>
    </rSty>
    <rSty dxfid="3"/>
    <rSty dxfid="1">
      <rpv i="0" xml:space="preserve">_ [$₹-as-IN] * #,##0_ ;_ [$₹-as-IN] * -#,##0_ ;_ [$₹-as-IN] * "-"_ ;_ @_ </rpv>
    </rSty>
    <rSty dxfid="2"/>
    <rSty dxfid="6">
      <rpv i="0">0</rpv>
    </rSty>
    <rSty dxfid="0">
      <rpv i="0">0.00</rpv>
    </rSty>
    <rSty>
      <rpv i="2">1</rpv>
    </rSty>
  </richStyles>
</rich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6"/>
  <sheetViews>
    <sheetView tabSelected="1" workbookViewId="0">
      <selection activeCell="D17" sqref="D17"/>
    </sheetView>
  </sheetViews>
  <sheetFormatPr defaultRowHeight="15"/>
  <cols>
    <col min="1" max="1" width="47.85546875" customWidth="1"/>
    <col min="2" max="2" width="41" customWidth="1"/>
    <col min="3" max="3" width="15.28515625" customWidth="1"/>
    <col min="5" max="5" width="15" customWidth="1"/>
    <col min="6" max="6" width="53.28515625" customWidth="1"/>
    <col min="7" max="7" width="33" customWidth="1"/>
    <col min="8" max="8" width="13.85546875" customWidth="1"/>
    <col min="9" max="9" width="14.28515625" customWidth="1"/>
    <col min="10" max="10" width="17" bestFit="1" customWidth="1"/>
  </cols>
  <sheetData>
    <row r="1" spans="1:10">
      <c r="A1" s="3" t="s">
        <v>0</v>
      </c>
      <c r="B1" s="3" t="s">
        <v>1</v>
      </c>
      <c r="C1" s="3" t="s">
        <v>2</v>
      </c>
      <c r="D1" s="3" t="s">
        <v>3</v>
      </c>
      <c r="E1" s="3" t="s">
        <v>4</v>
      </c>
      <c r="F1" s="3" t="s">
        <v>5</v>
      </c>
      <c r="G1" s="3" t="s">
        <v>6</v>
      </c>
      <c r="H1" s="3" t="s">
        <v>7</v>
      </c>
      <c r="I1" s="3" t="s">
        <v>8</v>
      </c>
    </row>
    <row r="3" spans="1:10">
      <c r="A3" s="3" t="e" vm="1">
        <v>#VALUE!</v>
      </c>
      <c r="B3" s="3" t="s">
        <v>9</v>
      </c>
      <c r="C3" s="1" cm="1">
        <f t="array" aca="1" ref="C3" ca="1">_FV(A3,"Price",TRUE)</f>
        <v>720.3</v>
      </c>
      <c r="D3" s="4">
        <v>11</v>
      </c>
      <c r="E3" s="6">
        <v>500</v>
      </c>
      <c r="F3" s="1">
        <f ca="1">D3*C3</f>
        <v>7923.2999999999993</v>
      </c>
      <c r="G3" s="7">
        <f>D3*E3</f>
        <v>5500</v>
      </c>
      <c r="H3" s="2">
        <f ca="1">F3-G3</f>
        <v>2423.2999999999993</v>
      </c>
      <c r="I3" s="11">
        <f ca="1">H3/G3</f>
        <v>0.44059999999999988</v>
      </c>
    </row>
    <row r="4" spans="1:10">
      <c r="A4" s="3" t="e" vm="2">
        <v>#VALUE!</v>
      </c>
      <c r="B4" s="3" t="s">
        <v>10</v>
      </c>
      <c r="C4" s="1" cm="1">
        <f t="array" aca="1" ref="C4" ca="1">_FV(A4,"Price",TRUE)</f>
        <v>1144</v>
      </c>
      <c r="D4" s="5">
        <v>21</v>
      </c>
      <c r="E4" s="6">
        <v>1202</v>
      </c>
      <c r="F4" s="1">
        <f ca="1">D4*C4</f>
        <v>24024</v>
      </c>
      <c r="G4" s="7">
        <f t="shared" ref="G4:G10" si="0">D4*E4</f>
        <v>25242</v>
      </c>
      <c r="H4" s="2">
        <f t="shared" ref="H4:H10" ca="1" si="1">F4-G4</f>
        <v>-1218</v>
      </c>
      <c r="I4" s="11">
        <f t="shared" ref="I4:I10" ca="1" si="2">H4/G4</f>
        <v>-4.8252911813643926E-2</v>
      </c>
    </row>
    <row r="5" spans="1:10">
      <c r="A5" s="3" t="e" vm="3">
        <v>#VALUE!</v>
      </c>
      <c r="B5" s="3" t="s">
        <v>11</v>
      </c>
      <c r="C5" s="1" cm="1">
        <f t="array" aca="1" ref="C5" ca="1">_FV(A5,"Price",TRUE)</f>
        <v>1287</v>
      </c>
      <c r="D5" s="5">
        <v>8</v>
      </c>
      <c r="E5" s="6">
        <v>1500</v>
      </c>
      <c r="F5" s="1">
        <f t="shared" ref="F4:F10" ca="1" si="3">D5*C5</f>
        <v>10296</v>
      </c>
      <c r="G5" s="7">
        <f t="shared" si="0"/>
        <v>12000</v>
      </c>
      <c r="H5" s="2">
        <f t="shared" ca="1" si="1"/>
        <v>-1704</v>
      </c>
      <c r="I5" s="11">
        <f t="shared" ca="1" si="2"/>
        <v>-0.14199999999999999</v>
      </c>
    </row>
    <row r="6" spans="1:10">
      <c r="A6" s="3" t="e" vm="4">
        <v>#VALUE!</v>
      </c>
      <c r="B6" s="3" t="s">
        <v>10</v>
      </c>
      <c r="C6" s="1" cm="1">
        <f t="array" aca="1" ref="C6" ca="1">_FV(A6,"Price",TRUE)</f>
        <v>2342</v>
      </c>
      <c r="D6" s="5">
        <v>23</v>
      </c>
      <c r="E6" s="6">
        <v>2200</v>
      </c>
      <c r="F6" s="1">
        <f t="shared" ca="1" si="3"/>
        <v>53866</v>
      </c>
      <c r="G6" s="7">
        <f t="shared" si="0"/>
        <v>50600</v>
      </c>
      <c r="H6" s="2">
        <f t="shared" ca="1" si="1"/>
        <v>3266</v>
      </c>
      <c r="I6" s="11">
        <f t="shared" ca="1" si="2"/>
        <v>6.4545454545454545E-2</v>
      </c>
    </row>
    <row r="7" spans="1:10">
      <c r="A7" s="3" t="e" vm="5">
        <v>#VALUE!</v>
      </c>
      <c r="B7" s="3" t="s">
        <v>9</v>
      </c>
      <c r="C7" s="1" cm="1">
        <f t="array" aca="1" ref="C7" ca="1">_FV(A7,"Price",TRUE)</f>
        <v>1422.8</v>
      </c>
      <c r="D7" s="5">
        <v>1</v>
      </c>
      <c r="E7" s="6">
        <v>1419</v>
      </c>
      <c r="F7" s="1">
        <f t="shared" ca="1" si="3"/>
        <v>1422.8</v>
      </c>
      <c r="G7" s="7">
        <f t="shared" si="0"/>
        <v>1419</v>
      </c>
      <c r="H7" s="2">
        <f t="shared" ca="1" si="1"/>
        <v>3.7999999999999545</v>
      </c>
      <c r="I7" s="11">
        <f t="shared" ca="1" si="2"/>
        <v>2.6779422128259019E-3</v>
      </c>
    </row>
    <row r="8" spans="1:10">
      <c r="A8" s="3" t="e" vm="6">
        <v>#VALUE!</v>
      </c>
      <c r="B8" s="3" t="s">
        <v>12</v>
      </c>
      <c r="C8" s="1" cm="1">
        <f t="array" aca="1" ref="C8" ca="1">_FV(A8,"Price",TRUE)</f>
        <v>266</v>
      </c>
      <c r="D8" s="5">
        <v>27</v>
      </c>
      <c r="E8" s="6">
        <v>342</v>
      </c>
      <c r="F8" s="1">
        <f t="shared" ca="1" si="3"/>
        <v>7182</v>
      </c>
      <c r="G8" s="7">
        <f t="shared" si="0"/>
        <v>9234</v>
      </c>
      <c r="H8" s="2">
        <f t="shared" ca="1" si="1"/>
        <v>-2052</v>
      </c>
      <c r="I8" s="11">
        <f t="shared" ca="1" si="2"/>
        <v>-0.22222222222222221</v>
      </c>
    </row>
    <row r="9" spans="1:10">
      <c r="A9" s="3" t="e" vm="7">
        <v>#VALUE!</v>
      </c>
      <c r="B9" s="3" t="s">
        <v>13</v>
      </c>
      <c r="C9" s="1" cm="1">
        <f t="array" aca="1" ref="C9" ca="1">_FV(A9,"Price",TRUE)</f>
        <v>186.5</v>
      </c>
      <c r="D9" s="5">
        <v>36</v>
      </c>
      <c r="E9" s="6">
        <v>190.99</v>
      </c>
      <c r="F9" s="1">
        <f t="shared" ca="1" si="3"/>
        <v>6714</v>
      </c>
      <c r="G9" s="7">
        <f t="shared" si="0"/>
        <v>6875.64</v>
      </c>
      <c r="H9" s="2">
        <f t="shared" ca="1" si="1"/>
        <v>-161.64000000000033</v>
      </c>
      <c r="I9" s="11">
        <f t="shared" ca="1" si="2"/>
        <v>-2.3509084245248488E-2</v>
      </c>
    </row>
    <row r="10" spans="1:10">
      <c r="A10" s="3" t="e" vm="8">
        <v>#VALUE!</v>
      </c>
      <c r="B10" s="3" t="s">
        <v>9</v>
      </c>
      <c r="C10" s="1" cm="1">
        <f t="array" aca="1" ref="C10" ca="1">_FV(A10,"Price",TRUE)</f>
        <v>1047.5</v>
      </c>
      <c r="D10" s="5">
        <v>2</v>
      </c>
      <c r="E10" s="6">
        <v>1001.34</v>
      </c>
      <c r="F10" s="1">
        <f t="shared" ca="1" si="3"/>
        <v>2095</v>
      </c>
      <c r="G10" s="7">
        <f t="shared" si="0"/>
        <v>2002.68</v>
      </c>
      <c r="H10" s="2">
        <f t="shared" ca="1" si="1"/>
        <v>92.319999999999936</v>
      </c>
      <c r="I10" s="11">
        <f t="shared" ca="1" si="2"/>
        <v>4.6098228373978832E-2</v>
      </c>
    </row>
    <row r="13" spans="1:10">
      <c r="A13" s="3" t="s">
        <v>14</v>
      </c>
      <c r="B13" s="12">
        <f>SUM(G3:G10)</f>
        <v>112873.31999999999</v>
      </c>
      <c r="C13" s="14"/>
      <c r="F13" s="3" t="s">
        <v>15</v>
      </c>
      <c r="G13" s="3" t="s">
        <v>16</v>
      </c>
      <c r="H13" s="3"/>
      <c r="I13" s="3" t="s">
        <v>17</v>
      </c>
      <c r="J13" s="8">
        <f ca="1">NOW()</f>
        <v>46262.688577777779</v>
      </c>
    </row>
    <row r="14" spans="1:10">
      <c r="A14" s="3" t="s">
        <v>18</v>
      </c>
      <c r="B14" s="12">
        <f ca="1">SUM(F3:F10)</f>
        <v>113523.1</v>
      </c>
      <c r="C14" s="15"/>
      <c r="F14" s="9" t="e" vm="4">
        <f ca="1">INDEX(A3:A10,MATCH(MAX(H3:H10),H3:H10,0))</f>
        <v>#VALUE!</v>
      </c>
      <c r="G14" s="9" t="e" vm="6">
        <f ca="1">INDEX(A3:A10,MATCH(MIN(H3:H10),H3:H10,0))</f>
        <v>#VALUE!</v>
      </c>
    </row>
    <row r="15" spans="1:10">
      <c r="A15" s="3" t="s">
        <v>19</v>
      </c>
      <c r="B15" s="12">
        <f ca="1">SUM(H3:H10)</f>
        <v>649.77999999999906</v>
      </c>
      <c r="C15" s="15"/>
      <c r="F15" s="10">
        <f ca="1">MAX(H3:H10)</f>
        <v>3266</v>
      </c>
      <c r="G15" s="10">
        <f ca="1">MIN(H3:H10)</f>
        <v>-2052</v>
      </c>
    </row>
    <row r="16" spans="1:10">
      <c r="A16" s="3" t="s">
        <v>20</v>
      </c>
      <c r="B16" s="13">
        <f ca="1">B15/B13</f>
        <v>5.756719125476234E-3</v>
      </c>
      <c r="C16" s="16"/>
    </row>
  </sheetData>
  <conditionalFormatting sqref="H1:I10">
    <cfRule type="cellIs" dxfId="3" priority="11" operator="greaterThan">
      <formula>0</formula>
    </cfRule>
  </conditionalFormatting>
  <conditionalFormatting sqref="H1:I10">
    <cfRule type="cellIs" dxfId="2" priority="10" operator="lessThan">
      <formula>0</formula>
    </cfRule>
  </conditionalFormatting>
  <conditionalFormatting sqref="H3:H10">
    <cfRule type="dataBar" priority="9">
      <dataBar>
        <cfvo type="min"/>
        <cfvo type="max"/>
        <color rgb="FF63C384"/>
      </dataBar>
      <extLst>
        <ext xmlns:x14="http://schemas.microsoft.com/office/spreadsheetml/2009/9/main" uri="{B025F937-C7B1-47D3-B67F-A62EFF666E3E}">
          <x14:id>{BB91D06F-ED7B-480B-AD47-F1FDD8CE12D2}</x14:id>
        </ext>
      </extLst>
    </cfRule>
  </conditionalFormatting>
  <conditionalFormatting sqref="C3:C10">
    <cfRule type="cellIs" dxfId="1" priority="4" operator="greaterThan">
      <formula>1000</formula>
    </cfRule>
  </conditionalFormatting>
  <conditionalFormatting sqref="C3:C10">
    <cfRule type="cellIs" dxfId="0" priority="3" operator="lessThan">
      <formula>1000</formula>
    </cfRule>
  </conditionalFormatting>
  <conditionalFormatting sqref="F3:F10">
    <cfRule type="dataBar" priority="1">
      <dataBar>
        <cfvo type="min"/>
        <cfvo type="max"/>
        <color rgb="FF638EC6"/>
      </dataBar>
      <extLst>
        <ext xmlns:x14="http://schemas.microsoft.com/office/spreadsheetml/2009/9/main" uri="{B025F937-C7B1-47D3-B67F-A62EFF666E3E}">
          <x14:id>{A58A62DA-1C85-4F54-9936-BAC952629DDD}</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BB91D06F-ED7B-480B-AD47-F1FDD8CE12D2}">
            <x14:dataBar minLength="0" maxLength="100" gradient="0">
              <x14:cfvo type="autoMin"/>
              <x14:cfvo type="autoMax"/>
              <x14:negativeFillColor rgb="FFFF0000"/>
              <x14:axisColor rgb="FF000000"/>
            </x14:dataBar>
          </x14:cfRule>
          <xm:sqref>H3:H10</xm:sqref>
        </x14:conditionalFormatting>
        <x14:conditionalFormatting xmlns:xm="http://schemas.microsoft.com/office/excel/2006/main">
          <x14:cfRule type="dataBar" id="{A58A62DA-1C85-4F54-9936-BAC952629DDD}">
            <x14:dataBar minLength="0" maxLength="100" border="1" negativeBarBorderColorSameAsPositive="0">
              <x14:cfvo type="autoMin"/>
              <x14:cfvo type="autoMax"/>
              <x14:borderColor rgb="FF638EC6"/>
              <x14:negativeFillColor rgb="FFFF0000"/>
              <x14:negativeBorderColor rgb="FFFF0000"/>
              <x14:axisColor rgb="FF000000"/>
            </x14:dataBar>
          </x14:cfRule>
          <xm:sqref>F3:F10</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Ashvathi R</cp:lastModifiedBy>
  <cp:revision/>
  <dcterms:created xsi:type="dcterms:W3CDTF">2026-08-08T10:47:25Z</dcterms:created>
  <dcterms:modified xsi:type="dcterms:W3CDTF">2026-08-28T11:03:19Z</dcterms:modified>
  <cp:category/>
  <cp:contentStatus/>
</cp:coreProperties>
</file>